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R:\London_Projects\2025\ClientsF-H\Hiscox\LDNPCCAT20251001 - Hiscox Renewal 2026\CatMgmt\09.Special Requests\Results by LOB\Verisk Results by LOB\"/>
    </mc:Choice>
  </mc:AlternateContent>
  <xr:revisionPtr revIDLastSave="0" documentId="13_ncr:1_{0F3A17CC-7AAB-4CA9-AF14-58BC18D038F5}" xr6:coauthVersionLast="47" xr6:coauthVersionMax="47" xr10:uidLastSave="{00000000-0000-0000-0000-000000000000}"/>
  <bookViews>
    <workbookView xWindow="-120" yWindow="-120" windowWidth="29040" windowHeight="15720" activeTab="1" xr2:uid="{00000000-000D-0000-FFFF-FFFF00000000}"/>
  </bookViews>
  <sheets>
    <sheet name="Cover" sheetId="1" r:id="rId1"/>
    <sheet name="Exposure" sheetId="9" r:id="rId2"/>
    <sheet name="Model Results" sheetId="5" r:id="rId3"/>
    <sheet name="PML by LOB" sheetId="8" r:id="rId4"/>
    <sheet name="Disclaimer"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9" l="1"/>
  <c r="B4" i="8"/>
  <c r="B21" i="5"/>
  <c r="B13" i="5"/>
  <c r="B4" i="5"/>
  <c r="B21" i="1"/>
  <c r="B18" i="1"/>
</calcChain>
</file>

<file path=xl/sharedStrings.xml><?xml version="1.0" encoding="utf-8"?>
<sst xmlns="http://schemas.openxmlformats.org/spreadsheetml/2006/main" count="1288" uniqueCount="451">
  <si>
    <t>31/05/2025</t>
  </si>
  <si>
    <t>09/01/2026</t>
  </si>
  <si>
    <t>Hiscox Plc</t>
  </si>
  <si>
    <t>Hiscox Rnl26 - Verisk Results</t>
  </si>
  <si>
    <t>geocoded</t>
  </si>
  <si>
    <t>GBP</t>
  </si>
  <si>
    <t>unit-millions</t>
  </si>
  <si>
    <t>Portfolio</t>
  </si>
  <si>
    <t>UK_PROP_UK_FL_NetFldRe</t>
  </si>
  <si>
    <t>EU_PROP_EU_FL</t>
  </si>
  <si>
    <t>UK_FA_UK_FL</t>
  </si>
  <si>
    <t>EU_FA_EU_FL</t>
  </si>
  <si>
    <t>Cherish_UK_FL_NetFldRe</t>
  </si>
  <si>
    <t>Caravans_UK_FL</t>
  </si>
  <si>
    <t>Pen_UK_FL_NetFldRe</t>
  </si>
  <si>
    <t>UK_PROP_UK_WSSS</t>
  </si>
  <si>
    <t>EU_PROP_EU_WS</t>
  </si>
  <si>
    <t>UK_FA_UK_WSSS</t>
  </si>
  <si>
    <t>EU_FA_EU_WS</t>
  </si>
  <si>
    <t>Cherish_UK_WSSS</t>
  </si>
  <si>
    <t>Caravans_UK_WSSS</t>
  </si>
  <si>
    <t>Pen_UK_WSSS</t>
  </si>
  <si>
    <t>UK_PROP_UK_WSSS_GCAdj</t>
  </si>
  <si>
    <t>EU_PROP_EU_WS_GCAdj</t>
  </si>
  <si>
    <t>UK_FA_UK_WSSS_GCAdj</t>
  </si>
  <si>
    <t>EU_FA_EU_WS_GCAdj</t>
  </si>
  <si>
    <t>Cherish_UK_WSSS_GCAdj</t>
  </si>
  <si>
    <t>Caravans_UK_WSSS_GCAdj</t>
  </si>
  <si>
    <t>Pen_UK_WSSS_GCAdj</t>
  </si>
  <si>
    <t>EU_PROP_EU_EQ</t>
  </si>
  <si>
    <t>EU_FA_EU_EQ</t>
  </si>
  <si>
    <t>Vendor</t>
  </si>
  <si>
    <t>Verisk</t>
  </si>
  <si>
    <t>Model</t>
  </si>
  <si>
    <t>Touchstone</t>
  </si>
  <si>
    <t>Version</t>
  </si>
  <si>
    <t>10.0</t>
  </si>
  <si>
    <t>Date as of</t>
  </si>
  <si>
    <t>Peril</t>
  </si>
  <si>
    <t>Inland Flood</t>
  </si>
  <si>
    <t>Wind, Storm Surge, NonCat</t>
  </si>
  <si>
    <t>Wind</t>
  </si>
  <si>
    <t>Wind, Storm Surge</t>
  </si>
  <si>
    <t>Earthquake Shake, Fire Following</t>
  </si>
  <si>
    <t>TSI</t>
  </si>
  <si>
    <t>Geocoded TSI</t>
  </si>
  <si>
    <t>Location Limits*</t>
  </si>
  <si>
    <t>Policy Limits*</t>
  </si>
  <si>
    <t>Risk Count*</t>
  </si>
  <si>
    <t>Net Loss Pre Cat</t>
  </si>
  <si>
    <t>VaR</t>
  </si>
  <si>
    <t>Return Period</t>
  </si>
  <si>
    <t>Occurrence Exceedance Probability (OEP)</t>
  </si>
  <si>
    <t>Aggregate Exceedance Probability (AEP)</t>
  </si>
  <si>
    <t>AAL</t>
  </si>
  <si>
    <t>StdDv</t>
  </si>
  <si>
    <t>Disclaimer:</t>
  </si>
  <si>
    <t>In the case where no value is reported or modeled, the cell in the table will be blank.</t>
  </si>
  <si>
    <t>In the case of missing data and the formula cannot be calculated, the cell will have a dash (-) symbol.</t>
  </si>
  <si>
    <t>GC Analytics® Disclaimer(s)</t>
  </si>
  <si>
    <t>The data and analysis provided by Guy Carpenter herein or in connection herewith are provided “as is”, without warranty of any kind whether express or implied.  The analysis is based upon data provided by the company or obtained from external sources, the accuracy of which has not been independently verified by Guy Carpenter.  Neither Guy Carpenter, its affiliates nor their officers, directors, agents, modelers, or subcontractors (collectively, “Providers”) guarantee or warrant the correctness, completeness, currentness, merchantability, or fitness for a particular purpose of such data and analysis.  The data and analysis is intended to be used solely for the purpose of the company internal evaluation and the company shall not disclose the analysis to any third party, except its reinsurers, auditors, rating agencies and regulators, without Guy Carpenter’s prior written consent.  In the event that the company discloses the data and analysis or any portion thereof, to any permissible third party, the company shall adopt the data and analysis as its own.  In no event will any Provider be liable for loss of profits or any other indirect, special, incidental and/or consequential damage of any kind howsoever incurred or designated, arising from any use of the data and analysis provided herein or in connection herewith.</t>
  </si>
  <si>
    <t>Statements or analysis concerning or incorporating tax, accounting or legal matters should be understood to be general observations or applications based solely on our experience as reinsurance brokers and risk consultants and may not be relied upon as tax, accounting or legal advice, which we are not authorized to provide. All such matters should be reviewed with the client's own qualified advisors in these areas.</t>
  </si>
  <si>
    <t>This presentation (report, letter) is not intended to be a complete actuarial communication.  Upon request, we can prepare one.  We are available to respond to questions regarding our analysis.</t>
  </si>
  <si>
    <t>There are many limitations on actuarial analyses, including uncertainty in the estimates and reliance on data.  We will provide additional information regarding these limitations upon request.</t>
  </si>
  <si>
    <t>As with any actuarial analysis, the results presented herein are subject to significant variability.  While these estimates represent our best professional judgment, it is probable that the actual results will differ from those projected.  The degree of such variability could be substantial and could be in either direction from our estimates.</t>
  </si>
  <si>
    <t>The estimated cash flows may vary significantly from amounts actually collected, particularly in the event that a reinsurer is unwilling or unable to perform in accordance with the terms of the reinsurance contract.</t>
  </si>
  <si>
    <t>In performing this analysis, we relied on the company for estimates regarding exposure data.  We did not perform an independent review of these estimates.</t>
  </si>
  <si>
    <t xml:space="preserve">The results in this report are generated with software models provided by Verisk. 
Developing models to estimate losses resulting from catastrophes or other large-scale events is an inherently subjective and imprecise process, involving judgment about a variety of environmental, demographic and regulatory factors.  The assumptions and methodologies used by Verisk in creating the models may not constitute the exclusive set of reasonable assumptions and methodologies.  The use of alternative assumptions and methodologies could yield materially different results.  Also, the output of the models depends on data and inputs supplied by others, and any gaps, inaccuracies, or changes to the inputs can substantially affect the output.  </t>
  </si>
  <si>
    <t>segment</t>
  </si>
  <si>
    <t>Analysis</t>
  </si>
  <si>
    <t>ExposureAttribute</t>
  </si>
  <si>
    <t>CatalogTypeCode</t>
  </si>
  <si>
    <t>aal_0.0</t>
  </si>
  <si>
    <t>sd_0.0</t>
  </si>
  <si>
    <t>aep_2.0</t>
  </si>
  <si>
    <t>aep_5.0</t>
  </si>
  <si>
    <t>aep_10.0</t>
  </si>
  <si>
    <t>aep_20.0</t>
  </si>
  <si>
    <t>aep_25.0</t>
  </si>
  <si>
    <t>aep_50.0</t>
  </si>
  <si>
    <t>aep_100.0</t>
  </si>
  <si>
    <t>aep_200.0</t>
  </si>
  <si>
    <t>aep_250.0</t>
  </si>
  <si>
    <t>aep_500.0</t>
  </si>
  <si>
    <t>aep_1000.0</t>
  </si>
  <si>
    <t>oep_2.0</t>
  </si>
  <si>
    <t>oep_5.0</t>
  </si>
  <si>
    <t>oep_10.0</t>
  </si>
  <si>
    <t>oep_20.0</t>
  </si>
  <si>
    <t>oep_25.0</t>
  </si>
  <si>
    <t>oep_50.0</t>
  </si>
  <si>
    <t>oep_100.0</t>
  </si>
  <si>
    <t>oep_200.0</t>
  </si>
  <si>
    <t>oep_250.0</t>
  </si>
  <si>
    <t>oep_500.0</t>
  </si>
  <si>
    <t>oep_1000.0</t>
  </si>
  <si>
    <t xml:space="preserve">EU_EQ|HIG_FA_GU|STC     </t>
  </si>
  <si>
    <t>EU_EQ</t>
  </si>
  <si>
    <t>HIG_FA_GU</t>
  </si>
  <si>
    <t xml:space="preserve">STC     </t>
  </si>
  <si>
    <t xml:space="preserve">EU_EQ|HSA_FA_EU_BE|STC     </t>
  </si>
  <si>
    <t>HSA_FA_EU_BE</t>
  </si>
  <si>
    <t xml:space="preserve">EU_EQ|HSA_FA_EU_DE|STC     </t>
  </si>
  <si>
    <t>HSA_FA_EU_DE</t>
  </si>
  <si>
    <t xml:space="preserve">EU_EQ|HSA_FA_EU_ES|STC     </t>
  </si>
  <si>
    <t>HSA_FA_EU_ES</t>
  </si>
  <si>
    <t xml:space="preserve">EU_EQ|HSA_FA_EU_FR|STC     </t>
  </si>
  <si>
    <t>HSA_FA_EU_FR</t>
  </si>
  <si>
    <t xml:space="preserve">EU_EQ|HSA_FA_EU_IE|STC     </t>
  </si>
  <si>
    <t>HSA_FA_EU_IE</t>
  </si>
  <si>
    <t xml:space="preserve">EU_EQ|HSA_FA_EU_NL|STC     </t>
  </si>
  <si>
    <t>HSA_FA_EU_NL</t>
  </si>
  <si>
    <t xml:space="preserve">EU_EQ|HSA_FA_EU_PT|STC     </t>
  </si>
  <si>
    <t>HSA_FA_EU_PT</t>
  </si>
  <si>
    <t xml:space="preserve">EU_EQ|HSA_FA_UK|STC     </t>
  </si>
  <si>
    <t>HSA_FA_UK</t>
  </si>
  <si>
    <t xml:space="preserve">EU_EQ|S33_FA_EU_BE|STC     </t>
  </si>
  <si>
    <t>S33_FA_EU_BE</t>
  </si>
  <si>
    <t xml:space="preserve">EU_EQ|S33_FA_EU_DE|STC     </t>
  </si>
  <si>
    <t>S33_FA_EU_DE</t>
  </si>
  <si>
    <t xml:space="preserve">EU_EQ|S33_FA_EU_ES|STC     </t>
  </si>
  <si>
    <t>S33_FA_EU_ES</t>
  </si>
  <si>
    <t xml:space="preserve">EU_EQ|S33_FA_EU_FR|STC     </t>
  </si>
  <si>
    <t>S33_FA_EU_FR</t>
  </si>
  <si>
    <t xml:space="preserve">EU_EQ|S33_FA_EU_NL|STC     </t>
  </si>
  <si>
    <t>S33_FA_EU_NL</t>
  </si>
  <si>
    <t xml:space="preserve">EU_EQ|S33_FA_Lloyds|STC     </t>
  </si>
  <si>
    <t>S33_FA_Lloyds</t>
  </si>
  <si>
    <t xml:space="preserve">EU_EQ|S33_FA_UK|STC     </t>
  </si>
  <si>
    <t>S33_FA_UK</t>
  </si>
  <si>
    <t xml:space="preserve">EU_FL|HIG_FA_GU|STC     </t>
  </si>
  <si>
    <t>EU_FL</t>
  </si>
  <si>
    <t xml:space="preserve">EU_FL|HSA_FA_EU_BE|STC     </t>
  </si>
  <si>
    <t xml:space="preserve">EU_FL|HSA_FA_EU_DE|STC     </t>
  </si>
  <si>
    <t xml:space="preserve">EU_FL|HSA_FA_EU_ES|STC     </t>
  </si>
  <si>
    <t xml:space="preserve">EU_FL|HSA_FA_EU_FR|STC     </t>
  </si>
  <si>
    <t xml:space="preserve">EU_FL|HSA_FA_EU_NL|STC     </t>
  </si>
  <si>
    <t xml:space="preserve">EU_FL|HSA_FA_UK|STC     </t>
  </si>
  <si>
    <t xml:space="preserve">EU_FL|S33_FA_EU_BE|STC     </t>
  </si>
  <si>
    <t xml:space="preserve">EU_FL|S33_FA_EU_DE|STC     </t>
  </si>
  <si>
    <t xml:space="preserve">EU_FL|S33_FA_EU_ES|STC     </t>
  </si>
  <si>
    <t xml:space="preserve">EU_FL|S33_FA_EU_FR|STC     </t>
  </si>
  <si>
    <t xml:space="preserve">EU_FL|S33_FA_EU_NL|STC     </t>
  </si>
  <si>
    <t xml:space="preserve">EU_FL|S33_FA_Lloyds|STC     </t>
  </si>
  <si>
    <t xml:space="preserve">EU_FL|S33_FA_UK|STC     </t>
  </si>
  <si>
    <t xml:space="preserve">EU_WS_GCAdj|HIG_FA_GU|STC     </t>
  </si>
  <si>
    <t>EU_WS_GCAdj</t>
  </si>
  <si>
    <t xml:space="preserve">EU_WS_GCAdj|HSA_FA_EU_BE|STC     </t>
  </si>
  <si>
    <t xml:space="preserve">EU_WS_GCAdj|HSA_FA_EU_DE|STC     </t>
  </si>
  <si>
    <t xml:space="preserve">EU_WS_GCAdj|HSA_FA_EU_ES|STC     </t>
  </si>
  <si>
    <t xml:space="preserve">EU_WS_GCAdj|HSA_FA_EU_FR|STC     </t>
  </si>
  <si>
    <t xml:space="preserve">EU_WS_GCAdj|HSA_FA_EU_IE|STC     </t>
  </si>
  <si>
    <t xml:space="preserve">EU_WS_GCAdj|HSA_FA_EU_NL|STC     </t>
  </si>
  <si>
    <t xml:space="preserve">EU_WS_GCAdj|HSA_FA_EU_PT|STC     </t>
  </si>
  <si>
    <t xml:space="preserve">EU_WS_GCAdj|HSA_FA_UK|STC     </t>
  </si>
  <si>
    <t xml:space="preserve">EU_WS_GCAdj|S33_FA_EU_BE|STC     </t>
  </si>
  <si>
    <t xml:space="preserve">EU_WS_GCAdj|S33_FA_EU_DE|STC     </t>
  </si>
  <si>
    <t xml:space="preserve">EU_WS_GCAdj|S33_FA_EU_ES|STC     </t>
  </si>
  <si>
    <t xml:space="preserve">EU_WS_GCAdj|S33_FA_EU_FR|STC     </t>
  </si>
  <si>
    <t xml:space="preserve">EU_WS_GCAdj|S33_FA_EU_NL|STC     </t>
  </si>
  <si>
    <t xml:space="preserve">EU_WS_GCAdj|S33_FA_Lloyds|STC     </t>
  </si>
  <si>
    <t xml:space="preserve">EU_WS_GCAdj|S33_FA_UK|STC     </t>
  </si>
  <si>
    <t xml:space="preserve">EU_WS|HIG_FA_GU|STC     </t>
  </si>
  <si>
    <t>EU_WS</t>
  </si>
  <si>
    <t xml:space="preserve">EU_WS|HSA_FA_EU_BE|STC     </t>
  </si>
  <si>
    <t xml:space="preserve">EU_WS|HSA_FA_EU_DE|STC     </t>
  </si>
  <si>
    <t xml:space="preserve">EU_WS|HSA_FA_EU_ES|STC     </t>
  </si>
  <si>
    <t xml:space="preserve">EU_WS|HSA_FA_EU_FR|STC     </t>
  </si>
  <si>
    <t xml:space="preserve">EU_WS|HSA_FA_EU_IE|STC     </t>
  </si>
  <si>
    <t xml:space="preserve">EU_WS|HSA_FA_EU_NL|STC     </t>
  </si>
  <si>
    <t xml:space="preserve">EU_WS|HSA_FA_EU_PT|STC     </t>
  </si>
  <si>
    <t xml:space="preserve">EU_WS|HSA_FA_UK|STC     </t>
  </si>
  <si>
    <t xml:space="preserve">EU_WS|S33_FA_EU_BE|STC     </t>
  </si>
  <si>
    <t xml:space="preserve">EU_WS|S33_FA_EU_DE|STC     </t>
  </si>
  <si>
    <t xml:space="preserve">EU_WS|S33_FA_EU_ES|STC     </t>
  </si>
  <si>
    <t xml:space="preserve">EU_WS|S33_FA_EU_FR|STC     </t>
  </si>
  <si>
    <t xml:space="preserve">EU_WS|S33_FA_EU_NL|STC     </t>
  </si>
  <si>
    <t xml:space="preserve">EU_WS|S33_FA_Lloyds|STC     </t>
  </si>
  <si>
    <t xml:space="preserve">EU_WS|S33_FA_UK|STC     </t>
  </si>
  <si>
    <t xml:space="preserve">UK_FL|HIC_FA_UK|STC     </t>
  </si>
  <si>
    <t>UK_FL</t>
  </si>
  <si>
    <t>HIC_FA_UK</t>
  </si>
  <si>
    <t xml:space="preserve">UK_FL|HIG_FA_GU|STC     </t>
  </si>
  <si>
    <t xml:space="preserve">UK_FL|HSA_FA_EU_BE|STC     </t>
  </si>
  <si>
    <t xml:space="preserve">UK_FL|HSA_FA_EU_DE|STC     </t>
  </si>
  <si>
    <t xml:space="preserve">UK_FL|HSA_FA_EU_ES|STC     </t>
  </si>
  <si>
    <t xml:space="preserve">UK_FL|HSA_FA_EU_FR|STC     </t>
  </si>
  <si>
    <t xml:space="preserve">UK_FL|HSA_FA_EU_IE|STC     </t>
  </si>
  <si>
    <t xml:space="preserve">UK_FL|HSA_FA_EU_NL|STC     </t>
  </si>
  <si>
    <t xml:space="preserve">UK_FL|HSA_FA_EU_PT|STC     </t>
  </si>
  <si>
    <t xml:space="preserve">UK_FL|S33_FA_Lloyds|STC     </t>
  </si>
  <si>
    <t xml:space="preserve">UK_FL|S33_FA_UK|STC     </t>
  </si>
  <si>
    <t xml:space="preserve">UK_WSSS_GCAdj|HIC_FA_UK|STC     </t>
  </si>
  <si>
    <t>UK_WSSS_GCAdj</t>
  </si>
  <si>
    <t xml:space="preserve">UK_WSSS_GCAdj|HIG_FA_GU|STC     </t>
  </si>
  <si>
    <t xml:space="preserve">UK_WSSS_GCAdj|HSA_FA_EU_BE|STC     </t>
  </si>
  <si>
    <t xml:space="preserve">UK_WSSS_GCAdj|HSA_FA_EU_DE|STC     </t>
  </si>
  <si>
    <t xml:space="preserve">UK_WSSS_GCAdj|HSA_FA_EU_ES|STC     </t>
  </si>
  <si>
    <t xml:space="preserve">UK_WSSS_GCAdj|HSA_FA_EU_FR|STC     </t>
  </si>
  <si>
    <t xml:space="preserve">UK_WSSS_GCAdj|HSA_FA_EU_IE|STC     </t>
  </si>
  <si>
    <t xml:space="preserve">UK_WSSS_GCAdj|HSA_FA_EU_NL|STC     </t>
  </si>
  <si>
    <t xml:space="preserve">UK_WSSS_GCAdj|HSA_FA_EU_PT|STC     </t>
  </si>
  <si>
    <t xml:space="preserve">UK_WSSS_GCAdj|S33_FA_Lloyds|STC     </t>
  </si>
  <si>
    <t xml:space="preserve">UK_WSSS_GCAdj|S33_FA_UK|STC     </t>
  </si>
  <si>
    <t xml:space="preserve">UK_WSSS|HIC_FA_UK|STC     </t>
  </si>
  <si>
    <t>UK_WSSS</t>
  </si>
  <si>
    <t xml:space="preserve">UK_WSSS|HIG_FA_GU|STC     </t>
  </si>
  <si>
    <t xml:space="preserve">UK_WSSS|HSA_FA_EU_BE|STC     </t>
  </si>
  <si>
    <t xml:space="preserve">UK_WSSS|HSA_FA_EU_DE|STC     </t>
  </si>
  <si>
    <t xml:space="preserve">UK_WSSS|HSA_FA_EU_ES|STC     </t>
  </si>
  <si>
    <t xml:space="preserve">UK_WSSS|HSA_FA_EU_FR|STC     </t>
  </si>
  <si>
    <t xml:space="preserve">UK_WSSS|HSA_FA_EU_IE|STC     </t>
  </si>
  <si>
    <t xml:space="preserve">UK_WSSS|HSA_FA_EU_NL|STC     </t>
  </si>
  <si>
    <t xml:space="preserve">UK_WSSS|HSA_FA_EU_PT|STC     </t>
  </si>
  <si>
    <t xml:space="preserve">UK_WSSS|S33_FA_Lloyds|STC     </t>
  </si>
  <si>
    <t xml:space="preserve">UK_WSSS|S33_FA_UK|STC     </t>
  </si>
  <si>
    <t xml:space="preserve">UK_FL|Caravans|STC     </t>
  </si>
  <si>
    <t>Caravans</t>
  </si>
  <si>
    <t xml:space="preserve">UK_FL|Cherish|STC     </t>
  </si>
  <si>
    <t>Cherish</t>
  </si>
  <si>
    <t xml:space="preserve">UK_FL|Pen|STC     </t>
  </si>
  <si>
    <t>Pen</t>
  </si>
  <si>
    <t xml:space="preserve">UK_WSSS_GCAdj|Caravans|STC     </t>
  </si>
  <si>
    <t xml:space="preserve">UK_WSSS_GCAdj|Cherish|STC     </t>
  </si>
  <si>
    <t xml:space="preserve">UK_WSSS_GCAdj|Pen|STC     </t>
  </si>
  <si>
    <t xml:space="preserve">UK_WSSS|Caravans|STC     </t>
  </si>
  <si>
    <t xml:space="preserve">UK_WSSS|Cherish|STC     </t>
  </si>
  <si>
    <t xml:space="preserve">UK_WSSS|Pen|STC     </t>
  </si>
  <si>
    <t xml:space="preserve">EU_EQ|HIC_COMM_UK|STC     </t>
  </si>
  <si>
    <t>HIC_COMM_UK</t>
  </si>
  <si>
    <t xml:space="preserve">EU_EQ|HIG_HH_GU|STC     </t>
  </si>
  <si>
    <t>HIG_HH_GU</t>
  </si>
  <si>
    <t xml:space="preserve">EU_EQ|HSA_COMM_EU_DE|STC     </t>
  </si>
  <si>
    <t>HSA_COMM_EU_DE</t>
  </si>
  <si>
    <t xml:space="preserve">EU_EQ|HSA_COMM_EU_FR|STC     </t>
  </si>
  <si>
    <t>HSA_COMM_EU_FR</t>
  </si>
  <si>
    <t xml:space="preserve">EU_EQ|HSA_COMM_EU_IE|STC     </t>
  </si>
  <si>
    <t>HSA_COMM_EU_IE</t>
  </si>
  <si>
    <t xml:space="preserve">EU_EQ|HSA_COMM_UK|STC     </t>
  </si>
  <si>
    <t>HSA_COMM_UK</t>
  </si>
  <si>
    <t xml:space="preserve">EU_EQ|HSA_HH_EU_BE|STC     </t>
  </si>
  <si>
    <t>HSA_HH_EU_BE</t>
  </si>
  <si>
    <t xml:space="preserve">EU_EQ|HSA_HH_EU_DE|STC     </t>
  </si>
  <si>
    <t>HSA_HH_EU_DE</t>
  </si>
  <si>
    <t xml:space="preserve">EU_EQ|HSA_HH_EU_ES|STC     </t>
  </si>
  <si>
    <t>HSA_HH_EU_ES</t>
  </si>
  <si>
    <t xml:space="preserve">EU_EQ|HSA_HH_EU_FR|STC     </t>
  </si>
  <si>
    <t>HSA_HH_EU_FR</t>
  </si>
  <si>
    <t xml:space="preserve">EU_EQ|HSA_HH_EU_IE|STC     </t>
  </si>
  <si>
    <t>HSA_HH_EU_IE</t>
  </si>
  <si>
    <t xml:space="preserve">EU_EQ|HSA_HH_EU_NL|STC     </t>
  </si>
  <si>
    <t>HSA_HH_EU_NL</t>
  </si>
  <si>
    <t xml:space="preserve">EU_EQ|HSA_HH_EU_PT|STC     </t>
  </si>
  <si>
    <t>HSA_HH_EU_PT</t>
  </si>
  <si>
    <t xml:space="preserve">EU_EQ|HSA_HH_UK|STC     </t>
  </si>
  <si>
    <t>HSA_HH_UK</t>
  </si>
  <si>
    <t xml:space="preserve">EU_EQ|S33_HH_EU_BE|STC     </t>
  </si>
  <si>
    <t>S33_HH_EU_BE</t>
  </si>
  <si>
    <t xml:space="preserve">EU_EQ|S33_HH_EU_DE|STC     </t>
  </si>
  <si>
    <t>S33_HH_EU_DE</t>
  </si>
  <si>
    <t xml:space="preserve">EU_EQ|S33_HH_EU_ES|STC     </t>
  </si>
  <si>
    <t>S33_HH_EU_ES</t>
  </si>
  <si>
    <t xml:space="preserve">EU_EQ|S33_HH_EU_FR|STC     </t>
  </si>
  <si>
    <t>S33_HH_EU_FR</t>
  </si>
  <si>
    <t xml:space="preserve">EU_EQ|S33_HH_EU_NL|STC     </t>
  </si>
  <si>
    <t>S33_HH_EU_NL</t>
  </si>
  <si>
    <t xml:space="preserve">EU_EQ|S33_HH_Lloyds|STC     </t>
  </si>
  <si>
    <t>S33_HH_Lloyds</t>
  </si>
  <si>
    <t xml:space="preserve">EU_EQ|S33_HH_UK|STC     </t>
  </si>
  <si>
    <t>S33_HH_UK</t>
  </si>
  <si>
    <t xml:space="preserve">EU_EQ|S3624_COMM_EU_DE|STC     </t>
  </si>
  <si>
    <t>S3624_COMM_EU_DE</t>
  </si>
  <si>
    <t xml:space="preserve">EU_EQ|S3624_COMM_UK|STC     </t>
  </si>
  <si>
    <t>S3624_COMM_UK</t>
  </si>
  <si>
    <t xml:space="preserve">EU_FL|HIC_COMM_UK|STC     </t>
  </si>
  <si>
    <t xml:space="preserve">EU_FL|HIG_HH_GU|STC     </t>
  </si>
  <si>
    <t xml:space="preserve">EU_FL|HSA_COMM_EU_DE|STC     </t>
  </si>
  <si>
    <t xml:space="preserve">EU_FL|HSA_COMM_EU_FR|STC     </t>
  </si>
  <si>
    <t xml:space="preserve">EU_FL|HSA_COMM_EU_IE|STC     </t>
  </si>
  <si>
    <t xml:space="preserve">EU_FL|HSA_COMM_UK|STC     </t>
  </si>
  <si>
    <t xml:space="preserve">EU_FL|HSA_HH_EU_BE|STC     </t>
  </si>
  <si>
    <t xml:space="preserve">EU_FL|HSA_HH_EU_DE|STC     </t>
  </si>
  <si>
    <t xml:space="preserve">EU_FL|HSA_HH_EU_NL|STC     </t>
  </si>
  <si>
    <t xml:space="preserve">EU_FL|HSA_HH_EU_PT|STC     </t>
  </si>
  <si>
    <t xml:space="preserve">EU_FL|HSA_HH_UK|STC     </t>
  </si>
  <si>
    <t xml:space="preserve">EU_FL|S33_HH_EU_BE|STC     </t>
  </si>
  <si>
    <t xml:space="preserve">EU_FL|S33_HH_EU_DE|STC     </t>
  </si>
  <si>
    <t xml:space="preserve">EU_FL|S33_HH_EU_ES|STC     </t>
  </si>
  <si>
    <t xml:space="preserve">EU_FL|S33_HH_EU_FR|STC     </t>
  </si>
  <si>
    <t xml:space="preserve">EU_FL|S33_HH_EU_NL|STC     </t>
  </si>
  <si>
    <t xml:space="preserve">EU_FL|S33_HH_Lloyds|STC     </t>
  </si>
  <si>
    <t xml:space="preserve">EU_FL|S33_HH_UK|STC     </t>
  </si>
  <si>
    <t xml:space="preserve">EU_FL|S3624_COMM_EU_DE|STC     </t>
  </si>
  <si>
    <t xml:space="preserve">EU_FL|S3624_COMM_UK|STC     </t>
  </si>
  <si>
    <t xml:space="preserve">EU_WS_GCAdj|HIC_COMM_UK|STC     </t>
  </si>
  <si>
    <t xml:space="preserve">EU_WS_GCAdj|HIG_HH_GU|STC     </t>
  </si>
  <si>
    <t xml:space="preserve">EU_WS_GCAdj|HSA_COMM_EU_DE|STC     </t>
  </si>
  <si>
    <t xml:space="preserve">EU_WS_GCAdj|HSA_COMM_EU_ES|STC     </t>
  </si>
  <si>
    <t>HSA_COMM_EU_ES</t>
  </si>
  <si>
    <t xml:space="preserve">EU_WS_GCAdj|HSA_COMM_EU_FR|STC     </t>
  </si>
  <si>
    <t xml:space="preserve">EU_WS_GCAdj|HSA_COMM_EU_IE|STC     </t>
  </si>
  <si>
    <t xml:space="preserve">EU_WS_GCAdj|HSA_COMM_UK|STC     </t>
  </si>
  <si>
    <t xml:space="preserve">EU_WS_GCAdj|HSA_HH_EU_BE|STC     </t>
  </si>
  <si>
    <t xml:space="preserve">EU_WS_GCAdj|HSA_HH_EU_DE|STC     </t>
  </si>
  <si>
    <t xml:space="preserve">EU_WS_GCAdj|HSA_HH_EU_ES|STC     </t>
  </si>
  <si>
    <t xml:space="preserve">EU_WS_GCAdj|HSA_HH_EU_FR|STC     </t>
  </si>
  <si>
    <t xml:space="preserve">EU_WS_GCAdj|HSA_HH_EU_IE|STC     </t>
  </si>
  <si>
    <t xml:space="preserve">EU_WS_GCAdj|HSA_HH_EU_NL|STC     </t>
  </si>
  <si>
    <t xml:space="preserve">EU_WS_GCAdj|HSA_HH_EU_PT|STC     </t>
  </si>
  <si>
    <t xml:space="preserve">EU_WS_GCAdj|HSA_HH_UK|STC     </t>
  </si>
  <si>
    <t xml:space="preserve">EU_WS_GCAdj|S33_HH_EU_BE|STC     </t>
  </si>
  <si>
    <t xml:space="preserve">EU_WS_GCAdj|S33_HH_EU_DE|STC     </t>
  </si>
  <si>
    <t xml:space="preserve">EU_WS_GCAdj|S33_HH_EU_ES|STC     </t>
  </si>
  <si>
    <t xml:space="preserve">EU_WS_GCAdj|S33_HH_EU_FR|STC     </t>
  </si>
  <si>
    <t xml:space="preserve">EU_WS_GCAdj|S33_HH_EU_NL|STC     </t>
  </si>
  <si>
    <t xml:space="preserve">EU_WS_GCAdj|S33_HH_Lloyds|STC     </t>
  </si>
  <si>
    <t xml:space="preserve">EU_WS_GCAdj|S33_HH_UK|STC     </t>
  </si>
  <si>
    <t xml:space="preserve">EU_WS_GCAdj|S3624_COMM_EU_DE|STC     </t>
  </si>
  <si>
    <t xml:space="preserve">EU_WS_GCAdj|S3624_COMM_UK|STC     </t>
  </si>
  <si>
    <t xml:space="preserve">EU_WS|HIC_COMM_UK|STC     </t>
  </si>
  <si>
    <t xml:space="preserve">EU_WS|HIG_HH_GU|STC     </t>
  </si>
  <si>
    <t xml:space="preserve">EU_WS|HSA_COMM_EU_DE|STC     </t>
  </si>
  <si>
    <t xml:space="preserve">EU_WS|HSA_COMM_EU_ES|STC     </t>
  </si>
  <si>
    <t xml:space="preserve">EU_WS|HSA_COMM_EU_FR|STC     </t>
  </si>
  <si>
    <t xml:space="preserve">EU_WS|HSA_COMM_EU_IE|STC     </t>
  </si>
  <si>
    <t xml:space="preserve">EU_WS|HSA_COMM_UK|STC     </t>
  </si>
  <si>
    <t xml:space="preserve">EU_WS|HSA_HH_EU_BE|STC     </t>
  </si>
  <si>
    <t xml:space="preserve">EU_WS|HSA_HH_EU_DE|STC     </t>
  </si>
  <si>
    <t xml:space="preserve">EU_WS|HSA_HH_EU_ES|STC     </t>
  </si>
  <si>
    <t xml:space="preserve">EU_WS|HSA_HH_EU_FR|STC     </t>
  </si>
  <si>
    <t xml:space="preserve">EU_WS|HSA_HH_EU_IE|STC     </t>
  </si>
  <si>
    <t xml:space="preserve">EU_WS|HSA_HH_EU_NL|STC     </t>
  </si>
  <si>
    <t xml:space="preserve">EU_WS|HSA_HH_EU_PT|STC     </t>
  </si>
  <si>
    <t xml:space="preserve">EU_WS|HSA_HH_UK|STC     </t>
  </si>
  <si>
    <t xml:space="preserve">EU_WS|S33_HH_EU_BE|STC     </t>
  </si>
  <si>
    <t xml:space="preserve">EU_WS|S33_HH_EU_DE|STC     </t>
  </si>
  <si>
    <t xml:space="preserve">EU_WS|S33_HH_EU_ES|STC     </t>
  </si>
  <si>
    <t xml:space="preserve">EU_WS|S33_HH_EU_FR|STC     </t>
  </si>
  <si>
    <t xml:space="preserve">EU_WS|S33_HH_EU_NL|STC     </t>
  </si>
  <si>
    <t xml:space="preserve">EU_WS|S33_HH_Lloyds|STC     </t>
  </si>
  <si>
    <t xml:space="preserve">EU_WS|S33_HH_UK|STC     </t>
  </si>
  <si>
    <t xml:space="preserve">EU_WS|S3624_COMM_EU_DE|STC     </t>
  </si>
  <si>
    <t xml:space="preserve">EU_WS|S3624_COMM_UK|STC     </t>
  </si>
  <si>
    <t xml:space="preserve">UK_FL|HIC_COMM_UK|STC     </t>
  </si>
  <si>
    <t xml:space="preserve">UK_FL|HIC_HH_UK|STC     </t>
  </si>
  <si>
    <t>HIC_HH_UK</t>
  </si>
  <si>
    <t xml:space="preserve">UK_FL|HIG_HH_GU|STC     </t>
  </si>
  <si>
    <t xml:space="preserve">UK_FL|HSA_COMM_EU_DE|STC     </t>
  </si>
  <si>
    <t xml:space="preserve">UK_FL|HSA_COMM_EU_IE|STC     </t>
  </si>
  <si>
    <t xml:space="preserve">UK_FL|HSA_COMM_UK|STC     </t>
  </si>
  <si>
    <t xml:space="preserve">UK_FL|HSA_HH_EU_BE|STC     </t>
  </si>
  <si>
    <t xml:space="preserve">UK_FL|HSA_HH_EU_DE|STC     </t>
  </si>
  <si>
    <t xml:space="preserve">UK_FL|HSA_HH_EU_ES|STC     </t>
  </si>
  <si>
    <t xml:space="preserve">UK_FL|HSA_HH_EU_FR|STC     </t>
  </si>
  <si>
    <t xml:space="preserve">UK_FL|HSA_HH_EU_IE|STC     </t>
  </si>
  <si>
    <t xml:space="preserve">UK_FL|HSA_HH_EU_NL|STC     </t>
  </si>
  <si>
    <t xml:space="preserve">UK_FL|HSA_HH_EU_PT|STC     </t>
  </si>
  <si>
    <t xml:space="preserve">UK_FL|S33_HH_Lloyds|STC     </t>
  </si>
  <si>
    <t xml:space="preserve">UK_FL|S33_HH_UK|STC     </t>
  </si>
  <si>
    <t xml:space="preserve">UK_FL|S3624_COMM_UK|STC     </t>
  </si>
  <si>
    <t xml:space="preserve">UK_WSSS_GCAdj|HIC_COMM_UK|STC     </t>
  </si>
  <si>
    <t xml:space="preserve">UK_WSSS_GCAdj|HIC_HH_UK|STC     </t>
  </si>
  <si>
    <t xml:space="preserve">UK_WSSS_GCAdj|HIG_HH_GU|STC     </t>
  </si>
  <si>
    <t xml:space="preserve">UK_WSSS_GCAdj|HSA_COMM_EU_DE|STC     </t>
  </si>
  <si>
    <t xml:space="preserve">UK_WSSS_GCAdj|HSA_COMM_EU_IE|STC     </t>
  </si>
  <si>
    <t xml:space="preserve">UK_WSSS_GCAdj|HSA_COMM_UK|STC     </t>
  </si>
  <si>
    <t xml:space="preserve">UK_WSSS_GCAdj|HSA_HH_EU_BE|STC     </t>
  </si>
  <si>
    <t xml:space="preserve">UK_WSSS_GCAdj|HSA_HH_EU_DE|STC     </t>
  </si>
  <si>
    <t xml:space="preserve">UK_WSSS_GCAdj|HSA_HH_EU_ES|STC     </t>
  </si>
  <si>
    <t xml:space="preserve">UK_WSSS_GCAdj|HSA_HH_EU_FR|STC     </t>
  </si>
  <si>
    <t xml:space="preserve">UK_WSSS_GCAdj|HSA_HH_EU_IE|STC     </t>
  </si>
  <si>
    <t xml:space="preserve">UK_WSSS_GCAdj|HSA_HH_EU_NL|STC     </t>
  </si>
  <si>
    <t xml:space="preserve">UK_WSSS_GCAdj|HSA_HH_EU_PT|STC     </t>
  </si>
  <si>
    <t xml:space="preserve">UK_WSSS_GCAdj|S33_HH_Lloyds|STC     </t>
  </si>
  <si>
    <t xml:space="preserve">UK_WSSS_GCAdj|S33_HH_UK|STC     </t>
  </si>
  <si>
    <t xml:space="preserve">UK_WSSS_GCAdj|S3624_COMM_UK|STC     </t>
  </si>
  <si>
    <t xml:space="preserve">UK_WSSS|HIC_COMM_UK|STC     </t>
  </si>
  <si>
    <t xml:space="preserve">UK_WSSS|HIC_HH_UK|STC     </t>
  </si>
  <si>
    <t xml:space="preserve">UK_WSSS|HIG_HH_GU|STC     </t>
  </si>
  <si>
    <t xml:space="preserve">UK_WSSS|HSA_COMM_EU_DE|STC     </t>
  </si>
  <si>
    <t xml:space="preserve">UK_WSSS|HSA_COMM_EU_IE|STC     </t>
  </si>
  <si>
    <t xml:space="preserve">UK_WSSS|HSA_COMM_UK|STC     </t>
  </si>
  <si>
    <t xml:space="preserve">UK_WSSS|HSA_HH_EU_BE|STC     </t>
  </si>
  <si>
    <t xml:space="preserve">UK_WSSS|HSA_HH_EU_DE|STC     </t>
  </si>
  <si>
    <t xml:space="preserve">UK_WSSS|HSA_HH_EU_ES|STC     </t>
  </si>
  <si>
    <t xml:space="preserve">UK_WSSS|HSA_HH_EU_FR|STC     </t>
  </si>
  <si>
    <t xml:space="preserve">UK_WSSS|HSA_HH_EU_IE|STC     </t>
  </si>
  <si>
    <t xml:space="preserve">UK_WSSS|HSA_HH_EU_NL|STC     </t>
  </si>
  <si>
    <t xml:space="preserve">UK_WSSS|HSA_HH_EU_PT|STC     </t>
  </si>
  <si>
    <t xml:space="preserve">UK_WSSS|S33_HH_Lloyds|STC     </t>
  </si>
  <si>
    <t xml:space="preserve">UK_WSSS|S33_HH_UK|STC     </t>
  </si>
  <si>
    <t xml:space="preserve">UK_WSSS|S3624_COMM_UK|STC     </t>
  </si>
  <si>
    <t>Description</t>
  </si>
  <si>
    <t>ExposureSetSID</t>
  </si>
  <si>
    <t>ExposureSetName</t>
  </si>
  <si>
    <t>UK Property - Exposure to be run for UK windstorm, storm surge and flood</t>
  </si>
  <si>
    <t>EU Property Exposure</t>
  </si>
  <si>
    <t>UK Fine Art Exposure, gross of QS</t>
  </si>
  <si>
    <t>EU Fine Art Exposure, gross of QS</t>
  </si>
  <si>
    <t>UK_Prop_Net_wSC</t>
  </si>
  <si>
    <t>UK_Prop_Gross_wSC</t>
  </si>
  <si>
    <t>UK_Prop_xSC</t>
  </si>
  <si>
    <t>EU_Prop</t>
  </si>
  <si>
    <t>UK_FA</t>
  </si>
  <si>
    <t>EU_FA</t>
  </si>
  <si>
    <t>ROW_FA</t>
  </si>
  <si>
    <t>ROW_Prop</t>
  </si>
  <si>
    <t>Cherish_Caravans</t>
  </si>
  <si>
    <t>Cherish_wSC_Gross</t>
  </si>
  <si>
    <t>Cherish_xSC</t>
  </si>
  <si>
    <t>Pen_wSC_Gross_SSFL</t>
  </si>
  <si>
    <t>Pen_Net_wSC</t>
  </si>
  <si>
    <t>Pen_xSC_SSFL</t>
  </si>
  <si>
    <t>Pen_xSC</t>
  </si>
  <si>
    <t>Cherish_Net_wSC</t>
  </si>
  <si>
    <t>Cherish Caravans Exposure</t>
  </si>
  <si>
    <t>Exposure View</t>
  </si>
  <si>
    <t>Exposure Sets Required</t>
  </si>
  <si>
    <t>Hiscox</t>
  </si>
  <si>
    <t>MGAs</t>
  </si>
  <si>
    <t>Fine Art</t>
  </si>
  <si>
    <t>UK Windstorm (storm surge GROSS of Flood Re)</t>
  </si>
  <si>
    <t>UK Windstorm (storm surge NET of Flood Re)</t>
  </si>
  <si>
    <t>UK Flood (storm surge GROSS of Flood Re)</t>
  </si>
  <si>
    <t>UK Flood (storm surge NET of Flood Re)</t>
  </si>
  <si>
    <t>EU Windstorm / Flood / Earthquake</t>
  </si>
  <si>
    <t>3,4</t>
  </si>
  <si>
    <t>2,4</t>
  </si>
  <si>
    <t>19,20,21,22,24</t>
  </si>
  <si>
    <t>19,21,24</t>
  </si>
  <si>
    <t>UK Property - Exposure ceded to Flood Re - Gross Flood Re</t>
  </si>
  <si>
    <t>Cherish excl Caravans - Exposure ceded to Flood Re - Gross Flood Re</t>
  </si>
  <si>
    <t>Cheirsh excl Caravans - Exposure to be run for UK windstorm, storm surge and flood</t>
  </si>
  <si>
    <t>Pen - Exposure to be run for UK windstorm</t>
  </si>
  <si>
    <t>Pen - Exposure to be run for UK storm surge and flood</t>
  </si>
  <si>
    <t>Pen - Exposure ceded to Flood Re - Gross Flood Re</t>
  </si>
  <si>
    <t>19,34,21,23,25</t>
  </si>
  <si>
    <t>19,20,21,22,24,25</t>
  </si>
  <si>
    <t>ROW Fine Art Exposures, gross of QS (not modelled)</t>
  </si>
  <si>
    <t>ROW Property Exposure (not modelled)</t>
  </si>
  <si>
    <t>Cherish excl Caravans - Exposure ceded to Flood Re - No flood or storm surge exposure</t>
  </si>
  <si>
    <t>Pen - Exposure ceded to Flood Re - No flood or storm surge exposure</t>
  </si>
  <si>
    <t>UK Property - Exposure ceded to Flood Re - No flood or storm surge exposure</t>
  </si>
  <si>
    <t>Storm Surge</t>
  </si>
  <si>
    <t>Flood</t>
  </si>
  <si>
    <t>Earthquake</t>
  </si>
  <si>
    <t>Exposure Sets with "Net" in the name, do not include flood and storm surge exposures. These are to be used for Gross of Flood Re combined with the xSC exposure to form Net of Flood Re for Windstorm model runs.</t>
  </si>
  <si>
    <t>xSC = not ceded to Flood Re</t>
  </si>
  <si>
    <t>wSC = ceded to Flood Re</t>
  </si>
  <si>
    <t>100% TIV (Windstorm)</t>
  </si>
  <si>
    <t xml:space="preserve">Exposures are gross of QS and Hiscox lines.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</si>
</sst>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
    <numFmt numFmtId="165" formatCode="_(* #,##0_);_(* \(#,##0\);_(* &quot;-&quot;??_);_(@_)"/>
    <numFmt numFmtId="166" formatCode="#,##0.0,,&quot;&quot;"/>
    <numFmt numFmtId="167" formatCode="_-* #,##0_-;\-* #,##0_-;_-* &quot;-&quot;??_-;_-@_-"/>
    <numFmt numFmtId="168" formatCode="#,##0.0,,"/>
    <numFmt numFmtId="169" formatCode="#,##0.0,,;#,##0.0,,;_-* &quot;-&quot;??_-;_-@_-"/>
    <numFmt numFmtId="170" formatCode="#,##0.0,,;#,##0.0,,"/>
  </numFmts>
  <fonts count="22" x14ac:knownFonts="1">
    <font>
      <sz val="11"/>
      <color theme="1"/>
      <name val="Calibri"/>
      <family val="2"/>
      <scheme val="minor"/>
    </font>
    <font>
      <b/>
      <sz val="20"/>
      <color theme="0"/>
      <name val="Arial"/>
      <family val="2"/>
    </font>
    <font>
      <b/>
      <sz val="28"/>
      <color theme="0"/>
      <name val="Arial"/>
      <family val="2"/>
    </font>
    <font>
      <b/>
      <sz val="16"/>
      <color theme="0"/>
      <name val="Arial"/>
      <family val="2"/>
    </font>
    <font>
      <b/>
      <sz val="12"/>
      <color theme="0"/>
      <name val="Arial"/>
      <family val="2"/>
    </font>
    <font>
      <sz val="10"/>
      <color theme="1"/>
      <name val="Arial"/>
      <family val="2"/>
    </font>
    <font>
      <sz val="10"/>
      <color rgb="FF202020"/>
      <name val="Arial"/>
      <family val="2"/>
    </font>
    <font>
      <sz val="28"/>
      <color rgb="FF00A8C8"/>
      <name val="Arial"/>
      <family val="2"/>
    </font>
    <font>
      <sz val="14"/>
      <color rgb="FF202020"/>
      <name val="Arial"/>
      <family val="2"/>
    </font>
    <font>
      <b/>
      <sz val="10"/>
      <color theme="0"/>
      <name val="Arial"/>
      <family val="2"/>
    </font>
    <font>
      <b/>
      <sz val="10"/>
      <color rgb="FF202020"/>
      <name val="Arial"/>
      <family val="2"/>
    </font>
    <font>
      <sz val="10"/>
      <color rgb="FF565656"/>
      <name val="Arial"/>
      <family val="2"/>
    </font>
    <font>
      <b/>
      <sz val="10"/>
      <color rgb="FF565656"/>
      <name val="Arial"/>
      <family val="2"/>
    </font>
    <font>
      <sz val="10"/>
      <color rgb="FF002C77"/>
      <name val="Arial"/>
      <family val="2"/>
    </font>
    <font>
      <sz val="10"/>
      <color rgb="FF006D9E"/>
      <name val="Arial"/>
      <family val="2"/>
    </font>
    <font>
      <b/>
      <sz val="11"/>
      <color theme="1"/>
      <name val="Arial"/>
      <family val="2"/>
    </font>
    <font>
      <sz val="28"/>
      <color rgb="FF202020"/>
      <name val="Arial"/>
      <family val="2"/>
    </font>
    <font>
      <sz val="11"/>
      <color rgb="FF202020"/>
      <name val="Calibri"/>
      <family val="2"/>
      <scheme val="minor"/>
    </font>
    <font>
      <b/>
      <sz val="14"/>
      <color rgb="FF202020"/>
      <name val="Arial"/>
      <family val="2"/>
    </font>
    <font>
      <sz val="11"/>
      <color theme="1"/>
      <name val="Calibri"/>
      <family val="2"/>
      <scheme val="minor"/>
    </font>
    <font>
      <b/>
      <sz val="11"/>
      <color rgb="FFFFFFFF"/>
      <name val="Calibri"/>
      <family val="2"/>
      <scheme val="minor"/>
    </font>
    <font>
      <i/>
      <sz val="11"/>
      <color theme="1"/>
      <name val="Calibri"/>
      <family val="2"/>
      <scheme val="minor"/>
    </font>
  </fonts>
  <fills count="7">
    <fill>
      <patternFill patternType="none"/>
    </fill>
    <fill>
      <patternFill patternType="gray125"/>
    </fill>
    <fill>
      <patternFill patternType="solid">
        <fgColor rgb="FF002C77"/>
        <bgColor auto="1"/>
      </patternFill>
    </fill>
    <fill>
      <patternFill patternType="solid">
        <fgColor rgb="FF002C77"/>
        <bgColor indexed="64"/>
      </patternFill>
    </fill>
    <fill>
      <patternFill patternType="solid">
        <fgColor theme="0"/>
        <bgColor indexed="64"/>
      </patternFill>
    </fill>
    <fill>
      <patternFill patternType="solid">
        <fgColor rgb="FFE8E8E8"/>
        <bgColor indexed="64"/>
      </patternFill>
    </fill>
    <fill>
      <patternFill patternType="solid">
        <fgColor rgb="FFF0F0F0"/>
        <bgColor indexed="64"/>
      </patternFill>
    </fill>
  </fills>
  <borders count="19">
    <border>
      <left/>
      <right/>
      <top/>
      <bottom/>
      <diagonal/>
    </border>
    <border>
      <left/>
      <right/>
      <top/>
      <bottom style="thin">
        <color rgb="FFDADADA"/>
      </bottom>
      <diagonal/>
    </border>
    <border>
      <left/>
      <right style="thin">
        <color theme="0"/>
      </right>
      <top/>
      <bottom/>
      <diagonal/>
    </border>
    <border>
      <left/>
      <right style="thin">
        <color indexed="64"/>
      </right>
      <top/>
      <bottom/>
      <diagonal/>
    </border>
    <border>
      <left/>
      <right style="thin">
        <color theme="0"/>
      </right>
      <top style="thin">
        <color theme="0" tint="-0.499984740745262"/>
      </top>
      <bottom style="thin">
        <color theme="0" tint="-0.499984740745262"/>
      </bottom>
      <diagonal/>
    </border>
    <border>
      <left/>
      <right style="thin">
        <color theme="0" tint="-0.499984740745262"/>
      </right>
      <top/>
      <bottom/>
      <diagonal/>
    </border>
    <border>
      <left/>
      <right style="thin">
        <color rgb="FF575757"/>
      </right>
      <top/>
      <bottom/>
      <diagonal/>
    </border>
    <border>
      <left/>
      <right style="thin">
        <color rgb="FF575757"/>
      </right>
      <top/>
      <bottom style="thin">
        <color rgb="FF575757"/>
      </bottom>
      <diagonal/>
    </border>
    <border>
      <left/>
      <right/>
      <top/>
      <bottom style="thin">
        <color rgb="FF575757"/>
      </bottom>
      <diagonal/>
    </border>
    <border>
      <left/>
      <right/>
      <top style="thin">
        <color rgb="FF575757"/>
      </top>
      <bottom style="thin">
        <color rgb="FF575757"/>
      </bottom>
      <diagonal/>
    </border>
    <border>
      <left/>
      <right/>
      <top style="thin">
        <color auto="1"/>
      </top>
      <bottom/>
      <diagonal/>
    </border>
    <border>
      <left/>
      <right style="thin">
        <color theme="1" tint="0.14993743705557422"/>
      </right>
      <top style="thin">
        <color rgb="FFDADADA"/>
      </top>
      <bottom style="thin">
        <color rgb="FFDADADA"/>
      </bottom>
      <diagonal/>
    </border>
    <border>
      <left/>
      <right/>
      <top/>
      <bottom/>
      <diagonal/>
    </border>
    <border>
      <left/>
      <right style="thin">
        <color rgb="FF575757"/>
      </right>
      <top/>
      <bottom/>
      <diagonal/>
    </border>
    <border>
      <left/>
      <right style="thin">
        <color theme="0" tint="-0.499984740745262"/>
      </right>
      <top/>
      <bottom style="thin">
        <color theme="0" tint="-0.499984740745262"/>
      </bottom>
      <diagonal/>
    </border>
    <border>
      <left/>
      <right/>
      <top/>
      <bottom style="thin">
        <color theme="0" tint="-0.499984740745262"/>
      </bottom>
      <diagonal/>
    </border>
    <border>
      <left style="thin">
        <color rgb="FFFFFFFF"/>
      </left>
      <right style="thin">
        <color rgb="FFFFFFFF"/>
      </right>
      <top/>
      <bottom/>
      <diagonal/>
    </border>
    <border>
      <left style="thin">
        <color rgb="FFFFFFFF"/>
      </left>
      <right/>
      <top/>
      <bottom/>
      <diagonal/>
    </border>
    <border>
      <left/>
      <right style="thin">
        <color rgb="FFFFFFFF"/>
      </right>
      <top/>
      <bottom/>
      <diagonal/>
    </border>
  </borders>
  <cellStyleXfs count="2">
    <xf numFmtId="0" fontId="0" fillId="0" borderId="0"/>
    <xf numFmtId="43" fontId="19" fillId="0" borderId="0" applyFont="0" applyFill="0" applyBorder="0" applyAlignment="0" applyProtection="0"/>
  </cellStyleXfs>
  <cellXfs count="83">
    <xf numFmtId="0" fontId="0" fillId="0" borderId="0" xfId="0"/>
    <xf numFmtId="0" fontId="0" fillId="2" borderId="0" xfId="0" applyFill="1"/>
    <xf numFmtId="14" fontId="3" fillId="2" borderId="0" xfId="0" applyNumberFormat="1" applyFont="1" applyFill="1" applyAlignment="1">
      <alignment horizontal="left" vertical="top" indent="5"/>
    </xf>
    <xf numFmtId="14" fontId="4" fillId="2" borderId="0" xfId="0" applyNumberFormat="1" applyFont="1" applyFill="1" applyAlignment="1">
      <alignment horizontal="left" vertical="top" indent="5"/>
    </xf>
    <xf numFmtId="0" fontId="0" fillId="3" borderId="0" xfId="0" applyFill="1"/>
    <xf numFmtId="0" fontId="5" fillId="4" borderId="0" xfId="0" applyFont="1" applyFill="1"/>
    <xf numFmtId="0" fontId="6" fillId="4" borderId="0" xfId="0" applyFont="1" applyFill="1" applyAlignment="1">
      <alignment horizontal="left"/>
    </xf>
    <xf numFmtId="0" fontId="0" fillId="0" borderId="12" xfId="0" applyBorder="1"/>
    <xf numFmtId="0" fontId="7" fillId="4" borderId="0" xfId="0" applyFont="1" applyFill="1" applyAlignment="1">
      <alignment horizontal="left" vertical="center"/>
    </xf>
    <xf numFmtId="0" fontId="8" fillId="4" borderId="0" xfId="0" applyFont="1" applyFill="1" applyAlignment="1">
      <alignment horizontal="left" vertical="center"/>
    </xf>
    <xf numFmtId="14" fontId="5" fillId="4" borderId="0" xfId="0" applyNumberFormat="1" applyFont="1" applyFill="1"/>
    <xf numFmtId="0" fontId="8" fillId="4" borderId="0" xfId="0" applyFont="1" applyFill="1"/>
    <xf numFmtId="0" fontId="5" fillId="4" borderId="0" xfId="0" applyFont="1" applyFill="1" applyAlignment="1">
      <alignment vertical="center"/>
    </xf>
    <xf numFmtId="0" fontId="5" fillId="4" borderId="0" xfId="0" applyFont="1" applyFill="1" applyAlignment="1">
      <alignment horizontal="left" vertical="center"/>
    </xf>
    <xf numFmtId="0" fontId="9" fillId="3" borderId="2" xfId="0" applyFont="1" applyFill="1" applyBorder="1" applyAlignment="1">
      <alignment horizontal="left" vertical="center" wrapText="1"/>
    </xf>
    <xf numFmtId="0" fontId="6" fillId="4" borderId="3" xfId="0" applyFont="1" applyFill="1" applyBorder="1" applyAlignment="1">
      <alignment horizontal="left"/>
    </xf>
    <xf numFmtId="0" fontId="9" fillId="3" borderId="4" xfId="0" applyFont="1" applyFill="1" applyBorder="1" applyAlignment="1">
      <alignment horizontal="left" vertical="center" wrapText="1"/>
    </xf>
    <xf numFmtId="0" fontId="10" fillId="4" borderId="5" xfId="0" applyFont="1" applyFill="1" applyBorder="1" applyAlignment="1">
      <alignment horizontal="left"/>
    </xf>
    <xf numFmtId="170" fontId="5" fillId="4" borderId="0" xfId="0" applyNumberFormat="1" applyFont="1" applyFill="1"/>
    <xf numFmtId="49" fontId="10" fillId="4" borderId="14" xfId="0" applyNumberFormat="1" applyFont="1" applyFill="1" applyBorder="1" applyAlignment="1">
      <alignment horizontal="left"/>
    </xf>
    <xf numFmtId="165" fontId="5" fillId="4" borderId="15" xfId="0" applyNumberFormat="1" applyFont="1" applyFill="1" applyBorder="1"/>
    <xf numFmtId="0" fontId="10" fillId="4" borderId="0" xfId="0" applyFont="1" applyFill="1" applyAlignment="1">
      <alignment horizontal="left"/>
    </xf>
    <xf numFmtId="164" fontId="5" fillId="4" borderId="0" xfId="0" applyNumberFormat="1" applyFont="1" applyFill="1"/>
    <xf numFmtId="0" fontId="9" fillId="3" borderId="2" xfId="0" applyFont="1" applyFill="1" applyBorder="1" applyAlignment="1">
      <alignment horizontal="left" vertical="center"/>
    </xf>
    <xf numFmtId="0" fontId="9" fillId="3" borderId="0" xfId="0" applyFont="1" applyFill="1" applyAlignment="1">
      <alignment horizontal="centerContinuous" vertical="center"/>
    </xf>
    <xf numFmtId="0" fontId="9" fillId="0" borderId="0" xfId="0" applyFont="1" applyAlignment="1">
      <alignment horizontal="center" vertical="center"/>
    </xf>
    <xf numFmtId="0" fontId="11" fillId="4" borderId="7" xfId="0" applyFont="1" applyFill="1" applyBorder="1" applyAlignment="1">
      <alignment vertical="center"/>
    </xf>
    <xf numFmtId="0" fontId="12" fillId="4" borderId="8" xfId="0" applyFont="1" applyFill="1" applyBorder="1" applyAlignment="1">
      <alignment horizontal="center" vertical="center" wrapText="1"/>
    </xf>
    <xf numFmtId="0" fontId="13" fillId="4" borderId="9" xfId="0" applyFont="1" applyFill="1" applyBorder="1" applyAlignment="1">
      <alignment vertical="center"/>
    </xf>
    <xf numFmtId="0" fontId="6" fillId="4" borderId="9" xfId="0" applyFont="1" applyFill="1" applyBorder="1"/>
    <xf numFmtId="167" fontId="5" fillId="4" borderId="6" xfId="0" applyNumberFormat="1" applyFont="1" applyFill="1" applyBorder="1"/>
    <xf numFmtId="168" fontId="5" fillId="4" borderId="0" xfId="0" applyNumberFormat="1" applyFont="1" applyFill="1"/>
    <xf numFmtId="167" fontId="5" fillId="4" borderId="13" xfId="0" applyNumberFormat="1" applyFont="1" applyFill="1" applyBorder="1"/>
    <xf numFmtId="168" fontId="5" fillId="4" borderId="12" xfId="0" applyNumberFormat="1" applyFont="1" applyFill="1" applyBorder="1"/>
    <xf numFmtId="169" fontId="5" fillId="4" borderId="10" xfId="0" applyNumberFormat="1" applyFont="1" applyFill="1" applyBorder="1"/>
    <xf numFmtId="169" fontId="5" fillId="4" borderId="12" xfId="0" applyNumberFormat="1" applyFont="1" applyFill="1" applyBorder="1"/>
    <xf numFmtId="0" fontId="0" fillId="4" borderId="12" xfId="0" applyFill="1" applyBorder="1"/>
    <xf numFmtId="167" fontId="5" fillId="0" borderId="0" xfId="0" applyNumberFormat="1" applyFont="1"/>
    <xf numFmtId="0" fontId="10" fillId="5" borderId="11" xfId="0" applyFont="1" applyFill="1" applyBorder="1" applyAlignment="1">
      <alignment horizontal="right" vertical="center"/>
    </xf>
    <xf numFmtId="168" fontId="5" fillId="5" borderId="1" xfId="0" applyNumberFormat="1" applyFont="1" applyFill="1" applyBorder="1"/>
    <xf numFmtId="0" fontId="14" fillId="4" borderId="0" xfId="0" applyFont="1" applyFill="1" applyAlignment="1">
      <alignment horizontal="right" vertical="center"/>
    </xf>
    <xf numFmtId="166" fontId="5" fillId="4" borderId="0" xfId="0" applyNumberFormat="1" applyFont="1" applyFill="1"/>
    <xf numFmtId="0" fontId="5" fillId="0" borderId="0" xfId="0" applyFont="1"/>
    <xf numFmtId="0" fontId="15" fillId="4" borderId="0" xfId="0" applyFont="1" applyFill="1"/>
    <xf numFmtId="49" fontId="16" fillId="4" borderId="0" xfId="0" applyNumberFormat="1" applyFont="1" applyFill="1" applyAlignment="1">
      <alignment horizontal="left"/>
    </xf>
    <xf numFmtId="0" fontId="17" fillId="4" borderId="0" xfId="0" applyFont="1" applyFill="1" applyAlignment="1">
      <alignment wrapText="1"/>
    </xf>
    <xf numFmtId="0" fontId="18" fillId="4" borderId="0" xfId="0" applyFont="1" applyFill="1"/>
    <xf numFmtId="0" fontId="8" fillId="4" borderId="0" xfId="0" applyFont="1" applyFill="1" applyAlignment="1">
      <alignment wrapText="1"/>
    </xf>
    <xf numFmtId="0" fontId="5" fillId="0" borderId="0" xfId="0" applyFont="1" applyAlignment="1">
      <alignment vertical="top" wrapText="1"/>
    </xf>
    <xf numFmtId="0" fontId="6" fillId="4" borderId="0" xfId="0" applyFont="1" applyFill="1" applyAlignment="1">
      <alignment wrapText="1"/>
    </xf>
    <xf numFmtId="0" fontId="6" fillId="4" borderId="0" xfId="0" applyFont="1" applyFill="1" applyAlignment="1">
      <alignment vertical="top" wrapText="1"/>
    </xf>
    <xf numFmtId="0" fontId="20" fillId="3" borderId="12" xfId="0" applyFont="1" applyFill="1" applyBorder="1" applyAlignment="1">
      <alignment horizontal="center" vertical="center"/>
    </xf>
    <xf numFmtId="0" fontId="20" fillId="3" borderId="17" xfId="0" applyFont="1" applyFill="1" applyBorder="1" applyAlignment="1">
      <alignment horizontal="center" vertical="center"/>
    </xf>
    <xf numFmtId="0" fontId="20" fillId="3" borderId="16" xfId="0" applyFont="1" applyFill="1" applyBorder="1" applyAlignment="1">
      <alignment horizontal="center" vertical="center"/>
    </xf>
    <xf numFmtId="0" fontId="17" fillId="0" borderId="12" xfId="0" applyFont="1" applyBorder="1"/>
    <xf numFmtId="0" fontId="17" fillId="6" borderId="12" xfId="0" applyFont="1" applyFill="1" applyBorder="1"/>
    <xf numFmtId="167" fontId="17" fillId="0" borderId="12" xfId="1" quotePrefix="1" applyNumberFormat="1" applyFont="1" applyFill="1" applyBorder="1"/>
    <xf numFmtId="167" fontId="17" fillId="0" borderId="12" xfId="1" applyNumberFormat="1" applyFont="1" applyFill="1" applyBorder="1"/>
    <xf numFmtId="167" fontId="17" fillId="6" borderId="12" xfId="1" quotePrefix="1" applyNumberFormat="1" applyFont="1" applyFill="1" applyBorder="1"/>
    <xf numFmtId="167" fontId="17" fillId="6" borderId="12" xfId="1" applyNumberFormat="1" applyFont="1" applyFill="1" applyBorder="1"/>
    <xf numFmtId="0" fontId="17" fillId="0" borderId="12" xfId="0" applyFont="1" applyBorder="1" applyAlignment="1">
      <alignment horizontal="center"/>
    </xf>
    <xf numFmtId="0" fontId="17" fillId="6" borderId="12" xfId="0" applyFont="1" applyFill="1" applyBorder="1" applyAlignment="1">
      <alignment horizontal="center"/>
    </xf>
    <xf numFmtId="167" fontId="17" fillId="0" borderId="12" xfId="1" applyNumberFormat="1" applyFont="1" applyBorder="1"/>
    <xf numFmtId="0" fontId="17" fillId="0" borderId="0" xfId="0" applyFont="1"/>
    <xf numFmtId="0" fontId="17" fillId="6" borderId="0" xfId="0" applyFont="1" applyFill="1"/>
    <xf numFmtId="14" fontId="1" fillId="2" borderId="0" xfId="0" applyNumberFormat="1" applyFont="1" applyFill="1" applyAlignment="1">
      <alignment horizontal="left" vertical="center" indent="5"/>
    </xf>
    <xf numFmtId="0" fontId="0" fillId="0" borderId="0" xfId="0"/>
    <xf numFmtId="14" fontId="2" fillId="2" borderId="0" xfId="0" applyNumberFormat="1" applyFont="1" applyFill="1" applyAlignment="1">
      <alignment horizontal="left" vertical="top" indent="5"/>
    </xf>
    <xf numFmtId="0" fontId="20" fillId="3" borderId="12" xfId="0" applyFont="1" applyFill="1" applyBorder="1" applyAlignment="1">
      <alignment horizontal="center" vertical="center"/>
    </xf>
    <xf numFmtId="0" fontId="20" fillId="3" borderId="17" xfId="0" applyFont="1" applyFill="1" applyBorder="1" applyAlignment="1">
      <alignment horizontal="center" vertical="center"/>
    </xf>
    <xf numFmtId="0" fontId="20" fillId="3" borderId="18" xfId="0" applyFont="1" applyFill="1" applyBorder="1" applyAlignment="1">
      <alignment horizontal="center" vertical="center"/>
    </xf>
    <xf numFmtId="0" fontId="20" fillId="3" borderId="16" xfId="0" applyFont="1" applyFill="1" applyBorder="1" applyAlignment="1">
      <alignment horizontal="center" vertical="center"/>
    </xf>
    <xf numFmtId="0" fontId="17" fillId="0" borderId="12" xfId="0" applyFont="1" applyBorder="1" applyAlignment="1">
      <alignment horizontal="left"/>
    </xf>
    <xf numFmtId="0" fontId="17" fillId="0" borderId="0" xfId="0" applyFont="1" applyAlignment="1">
      <alignment horizontal="left"/>
    </xf>
    <xf numFmtId="0" fontId="17" fillId="6" borderId="12" xfId="0" applyFont="1" applyFill="1" applyBorder="1" applyAlignment="1">
      <alignment horizontal="left"/>
    </xf>
    <xf numFmtId="0" fontId="17" fillId="6" borderId="0" xfId="0" applyFont="1" applyFill="1" applyAlignment="1">
      <alignment horizontal="left"/>
    </xf>
    <xf numFmtId="0" fontId="17" fillId="0" borderId="0" xfId="0" applyFont="1">
      <extLst>
        <ext xmlns:xfpb="http://schemas.microsoft.com/office/spreadsheetml/2022/featurepropertybag" uri="{C7286773-470A-42A8-94C5-96B5CB345126}">
          <xfpb:xfComplement i="0"/>
        </ext>
      </extLst>
    </xf>
    <xf numFmtId="0" fontId="17" fillId="6" borderId="0" xfId="0" applyFont="1" applyFill="1">
      <extLst>
        <ext xmlns:xfpb="http://schemas.microsoft.com/office/spreadsheetml/2022/featurepropertybag" uri="{C7286773-470A-42A8-94C5-96B5CB345126}">
          <xfpb:xfComplement i="0"/>
        </ext>
      </extLst>
    </xf>
    <xf numFmtId="0" fontId="17" fillId="0" borderId="12" xfId="0" applyFont="1" applyBorder="1">
      <extLst>
        <ext xmlns:xfpb="http://schemas.microsoft.com/office/spreadsheetml/2022/featurepropertybag" uri="{C7286773-470A-42A8-94C5-96B5CB345126}">
          <xfpb:xfComplement i="0"/>
        </ext>
      </extLst>
    </xf>
    <xf numFmtId="0" fontId="17" fillId="6" borderId="12" xfId="0" applyFont="1" applyFill="1" applyBorder="1">
      <extLst>
        <ext xmlns:xfpb="http://schemas.microsoft.com/office/spreadsheetml/2022/featurepropertybag" uri="{C7286773-470A-42A8-94C5-96B5CB345126}">
          <xfpb:xfComplement i="0"/>
        </ext>
      </extLst>
    </xf>
    <xf numFmtId="0" fontId="21" fillId="0" borderId="0" xfId="0" applyFont="1"/>
    <xf numFmtId="167" fontId="0" fillId="0" borderId="0" xfId="0" applyNumberFormat="1"/>
    <xf numFmtId="167" fontId="0" fillId="0" borderId="0" xfId="1" applyNumberFormat="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323850</xdr:colOff>
      <xdr:row>1</xdr:row>
      <xdr:rowOff>161925</xdr:rowOff>
    </xdr:from>
    <xdr:ext cx="2511770" cy="304826"/>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23850" y="352425"/>
          <a:ext cx="2511770" cy="304826"/>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127000</xdr:rowOff>
    </xdr:from>
    <xdr:to>
      <xdr:col>1</xdr:col>
      <xdr:colOff>1914525</xdr:colOff>
      <xdr:row>1</xdr:row>
      <xdr:rowOff>63500</xdr:rowOff>
    </xdr:to>
    <xdr:pic>
      <xdr:nvPicPr>
        <xdr:cNvPr id="2" name="GC_Logo">
          <a:extLst>
            <a:ext uri="{FF2B5EF4-FFF2-40B4-BE49-F238E27FC236}">
              <a16:creationId xmlns:a16="http://schemas.microsoft.com/office/drawing/2014/main" id="{99ABB088-F024-4437-A47E-A000F2783803}"/>
            </a:ext>
          </a:extLst>
        </xdr:cNvPr>
        <xdr:cNvPicPr>
          <a:picLocks/>
        </xdr:cNvPicPr>
      </xdr:nvPicPr>
      <xdr:blipFill>
        <a:blip xmlns:r="http://schemas.openxmlformats.org/officeDocument/2006/relationships" r:embed="rId1"/>
        <a:stretch>
          <a:fillRect/>
        </a:stretch>
      </xdr:blipFill>
      <xdr:spPr>
        <a:xfrm>
          <a:off x="66675" y="123825"/>
          <a:ext cx="1905000" cy="23495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0</xdr:row>
      <xdr:rowOff>127000</xdr:rowOff>
    </xdr:from>
    <xdr:to>
      <xdr:col>2</xdr:col>
      <xdr:colOff>796925</xdr:colOff>
      <xdr:row>1</xdr:row>
      <xdr:rowOff>60325</xdr:rowOff>
    </xdr:to>
    <xdr:pic>
      <xdr:nvPicPr>
        <xdr:cNvPr id="2" name="GC_Logo">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a:stretch>
          <a:fillRect/>
        </a:stretch>
      </xdr:blipFill>
      <xdr:spPr>
        <a:xfrm>
          <a:off x="63500" y="127000"/>
          <a:ext cx="1905000" cy="2286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63500</xdr:colOff>
      <xdr:row>0</xdr:row>
      <xdr:rowOff>127000</xdr:rowOff>
    </xdr:from>
    <xdr:to>
      <xdr:col>1</xdr:col>
      <xdr:colOff>1968500</xdr:colOff>
      <xdr:row>1</xdr:row>
      <xdr:rowOff>60325</xdr:rowOff>
    </xdr:to>
    <xdr:pic>
      <xdr:nvPicPr>
        <xdr:cNvPr id="2" name="GC_Logo">
          <a:extLst>
            <a:ext uri="{FF2B5EF4-FFF2-40B4-BE49-F238E27FC236}">
              <a16:creationId xmlns:a16="http://schemas.microsoft.com/office/drawing/2014/main" id="{DBDBECA9-EF4C-4B88-97C1-01197D3D66CF}"/>
            </a:ext>
          </a:extLst>
        </xdr:cNvPr>
        <xdr:cNvPicPr>
          <a:picLocks/>
        </xdr:cNvPicPr>
      </xdr:nvPicPr>
      <xdr:blipFill>
        <a:blip xmlns:r="http://schemas.openxmlformats.org/officeDocument/2006/relationships" r:embed="rId1"/>
        <a:stretch>
          <a:fillRect/>
        </a:stretch>
      </xdr:blipFill>
      <xdr:spPr>
        <a:xfrm>
          <a:off x="63500" y="127000"/>
          <a:ext cx="1905000" cy="2286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63500</xdr:colOff>
      <xdr:row>0</xdr:row>
      <xdr:rowOff>127000</xdr:rowOff>
    </xdr:from>
    <xdr:to>
      <xdr:col>0</xdr:col>
      <xdr:colOff>1964690</xdr:colOff>
      <xdr:row>0</xdr:row>
      <xdr:rowOff>359410</xdr:rowOff>
    </xdr:to>
    <xdr:pic>
      <xdr:nvPicPr>
        <xdr:cNvPr id="2" name="GC_Logo">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a:stretch>
          <a:fillRect/>
        </a:stretch>
      </xdr:blipFill>
      <xdr:spPr>
        <a:xfrm>
          <a:off x="63500" y="127000"/>
          <a:ext cx="1905000" cy="228600"/>
        </a:xfrm>
        <a:prstGeom prst="rect">
          <a:avLst/>
        </a:prstGeom>
        <a:ln>
          <a:prstDash val="solid"/>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5"/>
  <sheetViews>
    <sheetView showGridLines="0" topLeftCell="B1" workbookViewId="0"/>
  </sheetViews>
  <sheetFormatPr defaultColWidth="0" defaultRowHeight="15" zeroHeight="1" x14ac:dyDescent="0.25"/>
  <cols>
    <col min="1" max="1" width="9.140625" hidden="1" customWidth="1"/>
    <col min="2" max="2" width="123.5703125" customWidth="1"/>
  </cols>
  <sheetData>
    <row r="1" spans="1:2" x14ac:dyDescent="0.25">
      <c r="B1" s="1"/>
    </row>
    <row r="2" spans="1:2" x14ac:dyDescent="0.25">
      <c r="A2" t="s">
        <v>0</v>
      </c>
      <c r="B2" s="1"/>
    </row>
    <row r="3" spans="1:2" x14ac:dyDescent="0.25">
      <c r="A3" t="s">
        <v>1</v>
      </c>
      <c r="B3" s="1"/>
    </row>
    <row r="4" spans="1:2" x14ac:dyDescent="0.25">
      <c r="B4" s="1"/>
    </row>
    <row r="5" spans="1:2" x14ac:dyDescent="0.25">
      <c r="B5" s="1"/>
    </row>
    <row r="6" spans="1:2" x14ac:dyDescent="0.25">
      <c r="B6" s="1"/>
    </row>
    <row r="7" spans="1:2" x14ac:dyDescent="0.25">
      <c r="B7" s="1"/>
    </row>
    <row r="8" spans="1:2" x14ac:dyDescent="0.25">
      <c r="B8" s="1"/>
    </row>
    <row r="9" spans="1:2" x14ac:dyDescent="0.25">
      <c r="B9" s="1"/>
    </row>
    <row r="10" spans="1:2" x14ac:dyDescent="0.25">
      <c r="B10" s="1"/>
    </row>
    <row r="11" spans="1:2" x14ac:dyDescent="0.25">
      <c r="B11" s="1"/>
    </row>
    <row r="12" spans="1:2" ht="26.25" customHeight="1" x14ac:dyDescent="0.25">
      <c r="B12" s="65" t="s">
        <v>2</v>
      </c>
    </row>
    <row r="13" spans="1:2" x14ac:dyDescent="0.25">
      <c r="B13" s="66"/>
    </row>
    <row r="14" spans="1:2" ht="36" customHeight="1" x14ac:dyDescent="0.25">
      <c r="B14" s="67" t="s">
        <v>3</v>
      </c>
    </row>
    <row r="15" spans="1:2" x14ac:dyDescent="0.25">
      <c r="B15" s="66"/>
    </row>
    <row r="16" spans="1:2" ht="21" customHeight="1" x14ac:dyDescent="0.25">
      <c r="B16" s="2"/>
    </row>
    <row r="17" spans="2:2" x14ac:dyDescent="0.25">
      <c r="B17" s="1"/>
    </row>
    <row r="18" spans="2:2" ht="21" customHeight="1" x14ac:dyDescent="0.25">
      <c r="B18" s="2" t="str">
        <f>IF($A2="", "", "Data as of " &amp; $A2)</f>
        <v>Data as of 31/05/2025</v>
      </c>
    </row>
    <row r="19" spans="2:2" x14ac:dyDescent="0.25">
      <c r="B19" s="1"/>
    </row>
    <row r="20" spans="2:2" ht="124.5" customHeight="1" x14ac:dyDescent="0.25">
      <c r="B20" s="1"/>
    </row>
    <row r="21" spans="2:2" ht="112.5" customHeight="1" x14ac:dyDescent="0.25">
      <c r="B21" s="3" t="str">
        <f>IF($A3="", "", "Report Created on " &amp; $A3)</f>
        <v>Report Created on 09/01/2026</v>
      </c>
    </row>
    <row r="22" spans="2:2" x14ac:dyDescent="0.25">
      <c r="B22" s="1"/>
    </row>
    <row r="23" spans="2:2" x14ac:dyDescent="0.25">
      <c r="B23" s="1"/>
    </row>
    <row r="24" spans="2:2" x14ac:dyDescent="0.25">
      <c r="B24" s="1"/>
    </row>
    <row r="25" spans="2:2" x14ac:dyDescent="0.25">
      <c r="B25" s="4"/>
    </row>
  </sheetData>
  <mergeCells count="2">
    <mergeCell ref="B12:B13"/>
    <mergeCell ref="B14: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EE58-AA13-4B78-AA2E-006C4F195ED2}">
  <sheetPr>
    <pageSetUpPr fitToPage="1"/>
  </sheetPr>
  <dimension ref="A1:O34"/>
  <sheetViews>
    <sheetView showGridLines="0" tabSelected="1" topLeftCell="B1" workbookViewId="0">
      <selection activeCell="B27" sqref="B27"/>
    </sheetView>
  </sheetViews>
  <sheetFormatPr defaultColWidth="12.7109375" defaultRowHeight="23.25" customHeight="1" x14ac:dyDescent="0.25"/>
  <cols>
    <col min="1" max="1" width="29.28515625" hidden="1" customWidth="1"/>
    <col min="2" max="2" width="43.85546875" bestFit="1" customWidth="1"/>
    <col min="3" max="5" width="27" customWidth="1"/>
    <col min="12" max="12" width="21" bestFit="1" customWidth="1"/>
    <col min="14" max="15" width="19" bestFit="1" customWidth="1"/>
  </cols>
  <sheetData>
    <row r="1" spans="1:15" ht="23.25" customHeight="1" x14ac:dyDescent="0.25">
      <c r="A1" s="5" t="s">
        <v>4</v>
      </c>
      <c r="B1" s="8"/>
      <c r="C1" s="8"/>
      <c r="D1" s="8"/>
      <c r="E1" s="8"/>
    </row>
    <row r="2" spans="1:15" ht="23.25" customHeight="1" x14ac:dyDescent="0.25">
      <c r="A2" s="10" t="s">
        <v>0</v>
      </c>
    </row>
    <row r="3" spans="1:15" ht="23.25" customHeight="1" x14ac:dyDescent="0.25">
      <c r="A3" s="11" t="s">
        <v>5</v>
      </c>
      <c r="B3" s="9" t="s">
        <v>2</v>
      </c>
      <c r="C3" s="9"/>
    </row>
    <row r="4" spans="1:15" ht="23.25" customHeight="1" x14ac:dyDescent="0.25">
      <c r="A4" s="12" t="s">
        <v>6</v>
      </c>
      <c r="B4" s="13" t="str">
        <f>IF($A2="", "", "Data as of " &amp; $A2)</f>
        <v>Data as of 31/05/2025</v>
      </c>
      <c r="C4" s="13"/>
    </row>
    <row r="5" spans="1:15" ht="23.25" customHeight="1" x14ac:dyDescent="0.25">
      <c r="B5" t="s">
        <v>450</v>
      </c>
    </row>
    <row r="6" spans="1:15" ht="15" x14ac:dyDescent="0.25">
      <c r="B6" t="s">
        <v>446</v>
      </c>
    </row>
    <row r="7" spans="1:15" ht="15" x14ac:dyDescent="0.25">
      <c r="B7" s="80" t="s">
        <v>447</v>
      </c>
    </row>
    <row r="8" spans="1:15" ht="15" x14ac:dyDescent="0.25">
      <c r="B8" s="80" t="s">
        <v>448</v>
      </c>
    </row>
    <row r="9" spans="1:15" ht="15" customHeight="1" x14ac:dyDescent="0.25"/>
    <row r="10" spans="1:15" ht="15" x14ac:dyDescent="0.25">
      <c r="B10" s="51" t="s">
        <v>393</v>
      </c>
      <c r="C10" s="52" t="s">
        <v>394</v>
      </c>
      <c r="D10" s="69" t="s">
        <v>392</v>
      </c>
      <c r="E10" s="69"/>
      <c r="F10" s="69"/>
      <c r="G10" s="69"/>
      <c r="H10" s="52" t="s">
        <v>41</v>
      </c>
      <c r="I10" s="52" t="s">
        <v>443</v>
      </c>
      <c r="J10" s="52" t="s">
        <v>444</v>
      </c>
      <c r="K10" s="53" t="s">
        <v>445</v>
      </c>
      <c r="L10" s="51" t="s">
        <v>449</v>
      </c>
    </row>
    <row r="11" spans="1:15" ht="15" x14ac:dyDescent="0.25">
      <c r="B11" s="60">
        <v>2</v>
      </c>
      <c r="C11" s="54" t="s">
        <v>399</v>
      </c>
      <c r="D11" s="63" t="s">
        <v>442</v>
      </c>
      <c r="E11" s="63"/>
      <c r="F11" s="63"/>
      <c r="G11" s="63"/>
      <c r="H11" s="76" t="b">
        <v>1</v>
      </c>
      <c r="I11" s="76" t="b">
        <v>0</v>
      </c>
      <c r="J11" s="76" t="b">
        <v>0</v>
      </c>
      <c r="K11" s="76" t="b">
        <v>0</v>
      </c>
      <c r="L11" s="62">
        <v>9735308718.8899994</v>
      </c>
      <c r="N11" s="82"/>
      <c r="O11" s="82"/>
    </row>
    <row r="12" spans="1:15" ht="15" x14ac:dyDescent="0.25">
      <c r="B12" s="61">
        <v>3</v>
      </c>
      <c r="C12" s="55" t="s">
        <v>400</v>
      </c>
      <c r="D12" s="64" t="s">
        <v>430</v>
      </c>
      <c r="E12" s="64"/>
      <c r="F12" s="64"/>
      <c r="G12" s="64"/>
      <c r="H12" s="77" t="b">
        <v>1</v>
      </c>
      <c r="I12" s="77" t="b">
        <v>1</v>
      </c>
      <c r="J12" s="77" t="b">
        <v>1</v>
      </c>
      <c r="K12" s="77" t="b">
        <v>0</v>
      </c>
      <c r="L12" s="59">
        <v>9735308718.8899994</v>
      </c>
      <c r="N12" s="82"/>
      <c r="O12" s="82"/>
    </row>
    <row r="13" spans="1:15" ht="15" x14ac:dyDescent="0.25">
      <c r="B13" s="60">
        <v>4</v>
      </c>
      <c r="C13" s="54" t="s">
        <v>401</v>
      </c>
      <c r="D13" s="54" t="s">
        <v>395</v>
      </c>
      <c r="E13" s="54"/>
      <c r="F13" s="54"/>
      <c r="G13" s="54"/>
      <c r="H13" s="78" t="b">
        <v>1</v>
      </c>
      <c r="I13" s="78" t="b">
        <v>1</v>
      </c>
      <c r="J13" s="78" t="b">
        <v>1</v>
      </c>
      <c r="K13" s="78" t="b">
        <v>0</v>
      </c>
      <c r="L13" s="62">
        <v>115783175549.952</v>
      </c>
      <c r="N13" s="82"/>
      <c r="O13" s="82"/>
    </row>
    <row r="14" spans="1:15" ht="15" x14ac:dyDescent="0.25">
      <c r="B14" s="61">
        <v>5</v>
      </c>
      <c r="C14" s="55" t="s">
        <v>402</v>
      </c>
      <c r="D14" s="55" t="s">
        <v>396</v>
      </c>
      <c r="E14" s="55"/>
      <c r="F14" s="55"/>
      <c r="G14" s="55"/>
      <c r="H14" s="79" t="b">
        <v>1</v>
      </c>
      <c r="I14" s="79" t="b">
        <v>0</v>
      </c>
      <c r="J14" s="79" t="b">
        <v>1</v>
      </c>
      <c r="K14" s="79" t="b">
        <v>1</v>
      </c>
      <c r="L14" s="59">
        <v>69008229046.305206</v>
      </c>
      <c r="N14" s="82"/>
      <c r="O14" s="82"/>
    </row>
    <row r="15" spans="1:15" ht="15" x14ac:dyDescent="0.25">
      <c r="B15" s="60">
        <v>6</v>
      </c>
      <c r="C15" s="54" t="s">
        <v>403</v>
      </c>
      <c r="D15" s="54" t="s">
        <v>397</v>
      </c>
      <c r="E15" s="54"/>
      <c r="F15" s="54"/>
      <c r="G15" s="54"/>
      <c r="H15" s="78" t="b">
        <v>1</v>
      </c>
      <c r="I15" s="78" t="b">
        <v>1</v>
      </c>
      <c r="J15" s="78" t="b">
        <v>1</v>
      </c>
      <c r="K15" s="78" t="b">
        <v>0</v>
      </c>
      <c r="L15" s="62">
        <v>10787387915.620701</v>
      </c>
      <c r="N15" s="82"/>
      <c r="O15" s="82"/>
    </row>
    <row r="16" spans="1:15" ht="15" x14ac:dyDescent="0.25">
      <c r="B16" s="61">
        <v>7</v>
      </c>
      <c r="C16" s="55" t="s">
        <v>404</v>
      </c>
      <c r="D16" s="55" t="s">
        <v>398</v>
      </c>
      <c r="E16" s="55"/>
      <c r="F16" s="55"/>
      <c r="G16" s="55"/>
      <c r="H16" s="79" t="b">
        <v>1</v>
      </c>
      <c r="I16" s="79" t="b">
        <v>0</v>
      </c>
      <c r="J16" s="79" t="b">
        <v>1</v>
      </c>
      <c r="K16" s="79" t="b">
        <v>1</v>
      </c>
      <c r="L16" s="59">
        <v>26912674437.543999</v>
      </c>
      <c r="N16" s="82"/>
      <c r="O16" s="82"/>
    </row>
    <row r="17" spans="2:15" ht="15" x14ac:dyDescent="0.25">
      <c r="B17" s="60">
        <v>8</v>
      </c>
      <c r="C17" s="54" t="s">
        <v>405</v>
      </c>
      <c r="D17" s="63" t="s">
        <v>438</v>
      </c>
      <c r="E17" s="63"/>
      <c r="F17" s="63"/>
      <c r="G17" s="63"/>
      <c r="H17" s="76" t="b">
        <v>0</v>
      </c>
      <c r="I17" s="76" t="b">
        <v>0</v>
      </c>
      <c r="J17" s="76" t="b">
        <v>0</v>
      </c>
      <c r="K17" s="76" t="b">
        <v>0</v>
      </c>
      <c r="L17" s="62">
        <v>9581364028.1206398</v>
      </c>
      <c r="N17" s="82"/>
      <c r="O17" s="82"/>
    </row>
    <row r="18" spans="2:15" ht="15" x14ac:dyDescent="0.25">
      <c r="B18" s="61">
        <v>9</v>
      </c>
      <c r="C18" s="55" t="s">
        <v>406</v>
      </c>
      <c r="D18" s="64" t="s">
        <v>439</v>
      </c>
      <c r="E18" s="64"/>
      <c r="F18" s="64"/>
      <c r="G18" s="64"/>
      <c r="H18" s="77" t="b">
        <v>0</v>
      </c>
      <c r="I18" s="77" t="b">
        <v>0</v>
      </c>
      <c r="J18" s="77" t="b">
        <v>0</v>
      </c>
      <c r="K18" s="77" t="b">
        <v>0</v>
      </c>
      <c r="L18" s="59">
        <v>1047525578.70298</v>
      </c>
      <c r="N18" s="82"/>
      <c r="O18" s="82"/>
    </row>
    <row r="19" spans="2:15" ht="15" x14ac:dyDescent="0.25">
      <c r="B19" s="60">
        <v>19</v>
      </c>
      <c r="C19" s="54" t="s">
        <v>407</v>
      </c>
      <c r="D19" s="63" t="s">
        <v>415</v>
      </c>
      <c r="E19" s="63"/>
      <c r="F19" s="63"/>
      <c r="G19" s="63"/>
      <c r="H19" s="76" t="b">
        <v>1</v>
      </c>
      <c r="I19" s="76" t="b">
        <v>1</v>
      </c>
      <c r="J19" s="76" t="b">
        <v>1</v>
      </c>
      <c r="K19" s="76" t="b">
        <v>1</v>
      </c>
      <c r="L19" s="62">
        <v>2009251816.2618301</v>
      </c>
      <c r="N19" s="82"/>
      <c r="O19" s="82"/>
    </row>
    <row r="20" spans="2:15" ht="15" x14ac:dyDescent="0.25">
      <c r="B20" s="61">
        <v>20</v>
      </c>
      <c r="C20" s="55" t="s">
        <v>408</v>
      </c>
      <c r="D20" s="64" t="s">
        <v>431</v>
      </c>
      <c r="E20" s="64"/>
      <c r="F20" s="64"/>
      <c r="G20" s="64"/>
      <c r="H20" s="77" t="b">
        <v>1</v>
      </c>
      <c r="I20" s="77" t="b">
        <v>1</v>
      </c>
      <c r="J20" s="77" t="b">
        <v>1</v>
      </c>
      <c r="K20" s="77" t="b">
        <v>0</v>
      </c>
      <c r="L20" s="59">
        <v>796614960.20000005</v>
      </c>
      <c r="N20" s="82"/>
      <c r="O20" s="82"/>
    </row>
    <row r="21" spans="2:15" ht="15" x14ac:dyDescent="0.25">
      <c r="B21" s="60">
        <v>21</v>
      </c>
      <c r="C21" s="54" t="s">
        <v>409</v>
      </c>
      <c r="D21" s="54" t="s">
        <v>432</v>
      </c>
      <c r="E21" s="63"/>
      <c r="F21" s="63"/>
      <c r="G21" s="63"/>
      <c r="H21" s="76" t="b">
        <v>1</v>
      </c>
      <c r="I21" s="76" t="b">
        <v>1</v>
      </c>
      <c r="J21" s="76" t="b">
        <v>1</v>
      </c>
      <c r="K21" s="76" t="b">
        <v>0</v>
      </c>
      <c r="L21" s="62">
        <v>9659803391.6000004</v>
      </c>
      <c r="N21" s="82"/>
      <c r="O21" s="82"/>
    </row>
    <row r="22" spans="2:15" ht="15" x14ac:dyDescent="0.25">
      <c r="B22" s="61">
        <v>22</v>
      </c>
      <c r="C22" s="55" t="s">
        <v>410</v>
      </c>
      <c r="D22" s="64" t="s">
        <v>435</v>
      </c>
      <c r="E22" s="64"/>
      <c r="F22" s="64"/>
      <c r="G22" s="64"/>
      <c r="H22" s="77" t="b">
        <v>0</v>
      </c>
      <c r="I22" s="77" t="b">
        <v>1</v>
      </c>
      <c r="J22" s="77" t="b">
        <v>1</v>
      </c>
      <c r="K22" s="77" t="b">
        <v>0</v>
      </c>
      <c r="L22" s="59">
        <v>610020662</v>
      </c>
      <c r="N22" s="82"/>
      <c r="O22" s="82"/>
    </row>
    <row r="23" spans="2:15" ht="15" x14ac:dyDescent="0.25">
      <c r="B23" s="60">
        <v>23</v>
      </c>
      <c r="C23" s="54" t="s">
        <v>411</v>
      </c>
      <c r="D23" s="63" t="s">
        <v>441</v>
      </c>
      <c r="E23" s="63"/>
      <c r="F23" s="63"/>
      <c r="G23" s="63"/>
      <c r="H23" s="76" t="b">
        <v>1</v>
      </c>
      <c r="I23" s="76" t="b">
        <v>0</v>
      </c>
      <c r="J23" s="76" t="b">
        <v>0</v>
      </c>
      <c r="K23" s="76" t="b">
        <v>0</v>
      </c>
      <c r="L23" s="62">
        <v>610020662</v>
      </c>
      <c r="N23" s="82"/>
      <c r="O23" s="82"/>
    </row>
    <row r="24" spans="2:15" ht="15" x14ac:dyDescent="0.25">
      <c r="B24" s="61">
        <v>24</v>
      </c>
      <c r="C24" s="55" t="s">
        <v>412</v>
      </c>
      <c r="D24" s="64" t="s">
        <v>434</v>
      </c>
      <c r="E24" s="64"/>
      <c r="F24" s="64"/>
      <c r="G24" s="64"/>
      <c r="H24" s="77" t="b">
        <v>0</v>
      </c>
      <c r="I24" s="77" t="b">
        <v>1</v>
      </c>
      <c r="J24" s="77" t="b">
        <v>1</v>
      </c>
      <c r="K24" s="77" t="b">
        <v>0</v>
      </c>
      <c r="L24" s="59">
        <v>16755857387.830999</v>
      </c>
      <c r="N24" s="82"/>
      <c r="O24" s="82"/>
    </row>
    <row r="25" spans="2:15" ht="15" x14ac:dyDescent="0.25">
      <c r="B25" s="60">
        <v>25</v>
      </c>
      <c r="C25" s="54" t="s">
        <v>413</v>
      </c>
      <c r="D25" s="54" t="s">
        <v>433</v>
      </c>
      <c r="E25" s="63"/>
      <c r="F25" s="63"/>
      <c r="G25" s="63"/>
      <c r="H25" s="76" t="b">
        <v>1</v>
      </c>
      <c r="I25" s="76" t="b">
        <v>0</v>
      </c>
      <c r="J25" s="76" t="b">
        <v>0</v>
      </c>
      <c r="K25" s="76" t="b">
        <v>0</v>
      </c>
      <c r="L25" s="62">
        <v>16945713233.921</v>
      </c>
      <c r="N25" s="82"/>
      <c r="O25" s="82"/>
    </row>
    <row r="26" spans="2:15" ht="15" x14ac:dyDescent="0.25">
      <c r="B26" s="61">
        <v>34</v>
      </c>
      <c r="C26" s="55" t="s">
        <v>414</v>
      </c>
      <c r="D26" s="64" t="s">
        <v>440</v>
      </c>
      <c r="E26" s="64"/>
      <c r="F26" s="64"/>
      <c r="G26" s="64"/>
      <c r="H26" s="77" t="b">
        <v>1</v>
      </c>
      <c r="I26" s="77" t="b">
        <v>0</v>
      </c>
      <c r="J26" s="77" t="b">
        <v>0</v>
      </c>
      <c r="K26" s="77" t="b">
        <v>0</v>
      </c>
      <c r="L26" s="59">
        <v>796614960.20000005</v>
      </c>
      <c r="N26" s="82"/>
      <c r="O26" s="82"/>
    </row>
    <row r="27" spans="2:15" ht="23.25" customHeight="1" x14ac:dyDescent="0.25">
      <c r="L27" s="81"/>
    </row>
    <row r="28" spans="2:15" ht="15" x14ac:dyDescent="0.25">
      <c r="B28" s="70" t="s">
        <v>416</v>
      </c>
      <c r="C28" s="69" t="s">
        <v>417</v>
      </c>
      <c r="D28" s="71"/>
      <c r="E28" s="68"/>
      <c r="L28" s="81"/>
    </row>
    <row r="29" spans="2:15" ht="23.25" customHeight="1" x14ac:dyDescent="0.25">
      <c r="B29" s="70"/>
      <c r="C29" s="52" t="s">
        <v>418</v>
      </c>
      <c r="D29" s="53" t="s">
        <v>419</v>
      </c>
      <c r="E29" s="51" t="s">
        <v>420</v>
      </c>
    </row>
    <row r="30" spans="2:15" ht="15" x14ac:dyDescent="0.25">
      <c r="B30" s="72" t="s">
        <v>421</v>
      </c>
      <c r="C30" s="72" t="s">
        <v>426</v>
      </c>
      <c r="D30" s="73" t="s">
        <v>437</v>
      </c>
      <c r="E30" s="72">
        <v>6</v>
      </c>
    </row>
    <row r="31" spans="2:15" ht="15" x14ac:dyDescent="0.25">
      <c r="B31" s="74" t="s">
        <v>422</v>
      </c>
      <c r="C31" s="74" t="s">
        <v>427</v>
      </c>
      <c r="D31" s="75" t="s">
        <v>436</v>
      </c>
      <c r="E31" s="74">
        <v>6</v>
      </c>
    </row>
    <row r="32" spans="2:15" ht="15" x14ac:dyDescent="0.25">
      <c r="B32" s="72" t="s">
        <v>423</v>
      </c>
      <c r="C32" s="72" t="s">
        <v>426</v>
      </c>
      <c r="D32" s="72" t="s">
        <v>428</v>
      </c>
      <c r="E32" s="72">
        <v>6</v>
      </c>
    </row>
    <row r="33" spans="2:5" ht="15" x14ac:dyDescent="0.25">
      <c r="B33" s="74" t="s">
        <v>424</v>
      </c>
      <c r="C33" s="74">
        <v>4</v>
      </c>
      <c r="D33" s="74" t="s">
        <v>429</v>
      </c>
      <c r="E33" s="74">
        <v>6</v>
      </c>
    </row>
    <row r="34" spans="2:5" ht="15" x14ac:dyDescent="0.25">
      <c r="B34" s="72" t="s">
        <v>425</v>
      </c>
      <c r="C34" s="72">
        <v>5</v>
      </c>
      <c r="D34" s="72"/>
      <c r="E34" s="72">
        <v>7</v>
      </c>
    </row>
  </sheetData>
  <mergeCells count="3">
    <mergeCell ref="C28:E28"/>
    <mergeCell ref="B28:B29"/>
    <mergeCell ref="D10:G10"/>
  </mergeCells>
  <pageMargins left="0.7" right="0.7" top="0.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pageSetUpPr fitToPage="1"/>
  </sheetPr>
  <dimension ref="A1:AJ56"/>
  <sheetViews>
    <sheetView showGridLines="0" topLeftCell="B1" workbookViewId="0">
      <selection activeCell="F53" sqref="F53"/>
    </sheetView>
  </sheetViews>
  <sheetFormatPr defaultColWidth="12.7109375" defaultRowHeight="23.25" customHeight="1" x14ac:dyDescent="0.25"/>
  <cols>
    <col min="1" max="1" width="29.28515625" hidden="1" customWidth="1"/>
    <col min="2" max="2" width="17.5703125" customWidth="1"/>
    <col min="3" max="9" width="13.7109375" customWidth="1"/>
    <col min="10" max="10" width="12.7109375" customWidth="1"/>
  </cols>
  <sheetData>
    <row r="1" spans="1:25" ht="23.25" customHeight="1" x14ac:dyDescent="0.25">
      <c r="A1" s="5" t="s">
        <v>4</v>
      </c>
      <c r="B1" s="8"/>
      <c r="C1" s="8"/>
      <c r="D1" s="8"/>
      <c r="E1" s="8"/>
      <c r="G1" s="8"/>
      <c r="H1" s="8"/>
      <c r="I1" s="8"/>
      <c r="J1" s="8"/>
    </row>
    <row r="2" spans="1:25" ht="23.25" customHeight="1" x14ac:dyDescent="0.25">
      <c r="A2" s="10" t="s">
        <v>0</v>
      </c>
    </row>
    <row r="3" spans="1:25" ht="23.25" customHeight="1" x14ac:dyDescent="0.25">
      <c r="A3" s="11" t="s">
        <v>5</v>
      </c>
      <c r="B3" s="9" t="s">
        <v>2</v>
      </c>
    </row>
    <row r="4" spans="1:25" ht="23.25" customHeight="1" x14ac:dyDescent="0.25">
      <c r="A4" s="12" t="s">
        <v>6</v>
      </c>
      <c r="B4" s="13" t="str">
        <f>IF($A2="", "", "Data as of " &amp; $A2)</f>
        <v>Data as of 31/05/2025</v>
      </c>
    </row>
    <row r="5" spans="1:25" ht="23.25" customHeight="1" x14ac:dyDescent="0.25">
      <c r="A5" s="5" t="s">
        <v>6</v>
      </c>
    </row>
    <row r="6" spans="1:25" ht="45" hidden="1" customHeight="1" x14ac:dyDescent="0.25">
      <c r="B6" s="14" t="s">
        <v>7</v>
      </c>
      <c r="C6" s="14" t="s">
        <v>8</v>
      </c>
      <c r="D6" s="14" t="s">
        <v>9</v>
      </c>
      <c r="E6" s="14" t="s">
        <v>10</v>
      </c>
      <c r="F6" s="14" t="s">
        <v>11</v>
      </c>
      <c r="G6" s="14" t="s">
        <v>12</v>
      </c>
      <c r="H6" s="14" t="s">
        <v>13</v>
      </c>
      <c r="I6" s="14" t="s">
        <v>14</v>
      </c>
      <c r="J6" s="14" t="s">
        <v>15</v>
      </c>
      <c r="K6" s="14" t="s">
        <v>16</v>
      </c>
      <c r="L6" s="14" t="s">
        <v>17</v>
      </c>
      <c r="M6" s="14" t="s">
        <v>18</v>
      </c>
      <c r="N6" s="14" t="s">
        <v>19</v>
      </c>
      <c r="O6" s="14" t="s">
        <v>20</v>
      </c>
      <c r="P6" s="14" t="s">
        <v>21</v>
      </c>
      <c r="Q6" s="14" t="s">
        <v>22</v>
      </c>
      <c r="R6" s="14" t="s">
        <v>23</v>
      </c>
      <c r="S6" s="14" t="s">
        <v>24</v>
      </c>
      <c r="T6" s="14" t="s">
        <v>25</v>
      </c>
      <c r="U6" s="14" t="s">
        <v>26</v>
      </c>
      <c r="V6" s="14" t="s">
        <v>27</v>
      </c>
      <c r="W6" s="14" t="s">
        <v>28</v>
      </c>
      <c r="X6" s="14" t="s">
        <v>29</v>
      </c>
      <c r="Y6" s="14" t="s">
        <v>30</v>
      </c>
    </row>
    <row r="7" spans="1:25" ht="15" hidden="1" customHeight="1" x14ac:dyDescent="0.25">
      <c r="B7" s="15" t="s">
        <v>31</v>
      </c>
      <c r="C7" s="6" t="s">
        <v>32</v>
      </c>
      <c r="D7" s="6" t="s">
        <v>32</v>
      </c>
      <c r="E7" s="6" t="s">
        <v>32</v>
      </c>
      <c r="F7" s="6" t="s">
        <v>32</v>
      </c>
      <c r="G7" s="6" t="s">
        <v>32</v>
      </c>
      <c r="H7" s="6" t="s">
        <v>32</v>
      </c>
      <c r="I7" s="6" t="s">
        <v>32</v>
      </c>
      <c r="J7" s="6" t="s">
        <v>32</v>
      </c>
      <c r="K7" s="6" t="s">
        <v>32</v>
      </c>
      <c r="L7" s="6" t="s">
        <v>32</v>
      </c>
      <c r="M7" s="6" t="s">
        <v>32</v>
      </c>
      <c r="N7" s="6" t="s">
        <v>32</v>
      </c>
      <c r="O7" s="6" t="s">
        <v>32</v>
      </c>
      <c r="P7" s="6" t="s">
        <v>32</v>
      </c>
      <c r="Q7" s="6" t="s">
        <v>32</v>
      </c>
      <c r="R7" s="6" t="s">
        <v>32</v>
      </c>
      <c r="S7" s="6" t="s">
        <v>32</v>
      </c>
      <c r="T7" s="6" t="s">
        <v>32</v>
      </c>
      <c r="U7" s="6" t="s">
        <v>32</v>
      </c>
      <c r="V7" s="6" t="s">
        <v>32</v>
      </c>
      <c r="W7" s="6" t="s">
        <v>32</v>
      </c>
      <c r="X7" s="6" t="s">
        <v>32</v>
      </c>
      <c r="Y7" s="6" t="s">
        <v>32</v>
      </c>
    </row>
    <row r="8" spans="1:25" ht="15" hidden="1" customHeight="1" x14ac:dyDescent="0.25">
      <c r="B8" s="15" t="s">
        <v>33</v>
      </c>
      <c r="C8" s="6" t="s">
        <v>34</v>
      </c>
      <c r="D8" s="6" t="s">
        <v>34</v>
      </c>
      <c r="E8" s="6" t="s">
        <v>34</v>
      </c>
      <c r="F8" s="6" t="s">
        <v>34</v>
      </c>
      <c r="G8" s="6" t="s">
        <v>34</v>
      </c>
      <c r="H8" s="6" t="s">
        <v>34</v>
      </c>
      <c r="I8" s="6" t="s">
        <v>34</v>
      </c>
      <c r="J8" s="6" t="s">
        <v>34</v>
      </c>
      <c r="K8" s="6" t="s">
        <v>34</v>
      </c>
      <c r="L8" s="6" t="s">
        <v>34</v>
      </c>
      <c r="M8" s="6" t="s">
        <v>34</v>
      </c>
      <c r="N8" s="6" t="s">
        <v>34</v>
      </c>
      <c r="O8" s="6" t="s">
        <v>34</v>
      </c>
      <c r="P8" s="6" t="s">
        <v>34</v>
      </c>
      <c r="Q8" s="6" t="s">
        <v>34</v>
      </c>
      <c r="R8" s="6" t="s">
        <v>34</v>
      </c>
      <c r="S8" s="6" t="s">
        <v>34</v>
      </c>
      <c r="T8" s="6" t="s">
        <v>34</v>
      </c>
      <c r="U8" s="6" t="s">
        <v>34</v>
      </c>
      <c r="V8" s="6" t="s">
        <v>34</v>
      </c>
      <c r="W8" s="6" t="s">
        <v>34</v>
      </c>
      <c r="X8" s="6" t="s">
        <v>34</v>
      </c>
      <c r="Y8" s="6" t="s">
        <v>34</v>
      </c>
    </row>
    <row r="9" spans="1:25" ht="15" hidden="1" customHeight="1" x14ac:dyDescent="0.25">
      <c r="B9" s="15" t="s">
        <v>35</v>
      </c>
      <c r="C9" s="6" t="s">
        <v>36</v>
      </c>
      <c r="D9" s="6" t="s">
        <v>36</v>
      </c>
      <c r="E9" s="6" t="s">
        <v>36</v>
      </c>
      <c r="F9" s="6" t="s">
        <v>36</v>
      </c>
      <c r="G9" s="6" t="s">
        <v>36</v>
      </c>
      <c r="H9" s="6" t="s">
        <v>36</v>
      </c>
      <c r="I9" s="6" t="s">
        <v>36</v>
      </c>
      <c r="J9" s="6" t="s">
        <v>36</v>
      </c>
      <c r="K9" s="6" t="s">
        <v>36</v>
      </c>
      <c r="L9" s="6" t="s">
        <v>36</v>
      </c>
      <c r="M9" s="6" t="s">
        <v>36</v>
      </c>
      <c r="N9" s="6" t="s">
        <v>36</v>
      </c>
      <c r="O9" s="6" t="s">
        <v>36</v>
      </c>
      <c r="P9" s="6" t="s">
        <v>36</v>
      </c>
      <c r="Q9" s="6" t="s">
        <v>36</v>
      </c>
      <c r="R9" s="6" t="s">
        <v>36</v>
      </c>
      <c r="S9" s="6" t="s">
        <v>36</v>
      </c>
      <c r="T9" s="6" t="s">
        <v>36</v>
      </c>
      <c r="U9" s="6" t="s">
        <v>36</v>
      </c>
      <c r="V9" s="6" t="s">
        <v>36</v>
      </c>
      <c r="W9" s="6" t="s">
        <v>36</v>
      </c>
      <c r="X9" s="6" t="s">
        <v>36</v>
      </c>
      <c r="Y9" s="6" t="s">
        <v>36</v>
      </c>
    </row>
    <row r="10" spans="1:25" ht="15" hidden="1" customHeight="1" x14ac:dyDescent="0.25">
      <c r="B10" s="15" t="s">
        <v>37</v>
      </c>
      <c r="C10" s="6" t="s">
        <v>0</v>
      </c>
      <c r="D10" s="6" t="s">
        <v>0</v>
      </c>
      <c r="E10" s="6" t="s">
        <v>0</v>
      </c>
      <c r="F10" s="6" t="s">
        <v>0</v>
      </c>
      <c r="G10" s="6" t="s">
        <v>0</v>
      </c>
      <c r="H10" s="6" t="s">
        <v>0</v>
      </c>
      <c r="I10" s="6" t="s">
        <v>0</v>
      </c>
      <c r="J10" s="6" t="s">
        <v>0</v>
      </c>
      <c r="K10" s="6" t="s">
        <v>0</v>
      </c>
      <c r="L10" s="6" t="s">
        <v>0</v>
      </c>
      <c r="M10" s="6" t="s">
        <v>0</v>
      </c>
      <c r="N10" s="6" t="s">
        <v>0</v>
      </c>
      <c r="O10" s="6" t="s">
        <v>0</v>
      </c>
      <c r="P10" s="6" t="s">
        <v>0</v>
      </c>
      <c r="Q10" s="6" t="s">
        <v>0</v>
      </c>
      <c r="R10" s="6" t="s">
        <v>0</v>
      </c>
      <c r="S10" s="6" t="s">
        <v>0</v>
      </c>
      <c r="T10" s="6" t="s">
        <v>0</v>
      </c>
      <c r="U10" s="6" t="s">
        <v>0</v>
      </c>
      <c r="V10" s="6" t="s">
        <v>0</v>
      </c>
      <c r="W10" s="6" t="s">
        <v>0</v>
      </c>
      <c r="X10" s="6" t="s">
        <v>0</v>
      </c>
      <c r="Y10" s="6" t="s">
        <v>0</v>
      </c>
    </row>
    <row r="11" spans="1:25" ht="15" hidden="1" customHeight="1" x14ac:dyDescent="0.25">
      <c r="B11" s="15" t="s">
        <v>38</v>
      </c>
      <c r="C11" s="6" t="s">
        <v>39</v>
      </c>
      <c r="D11" s="6" t="s">
        <v>39</v>
      </c>
      <c r="E11" s="6" t="s">
        <v>39</v>
      </c>
      <c r="F11" s="6" t="s">
        <v>39</v>
      </c>
      <c r="G11" s="6" t="s">
        <v>39</v>
      </c>
      <c r="H11" s="6" t="s">
        <v>39</v>
      </c>
      <c r="I11" s="6" t="s">
        <v>39</v>
      </c>
      <c r="J11" s="6" t="s">
        <v>40</v>
      </c>
      <c r="K11" s="6" t="s">
        <v>41</v>
      </c>
      <c r="L11" s="6" t="s">
        <v>42</v>
      </c>
      <c r="M11" s="6" t="s">
        <v>41</v>
      </c>
      <c r="N11" s="6" t="s">
        <v>40</v>
      </c>
      <c r="O11" s="6" t="s">
        <v>40</v>
      </c>
      <c r="P11" s="6" t="s">
        <v>40</v>
      </c>
      <c r="Q11" s="6" t="s">
        <v>40</v>
      </c>
      <c r="R11" s="6" t="s">
        <v>41</v>
      </c>
      <c r="S11" s="6" t="s">
        <v>42</v>
      </c>
      <c r="T11" s="6" t="s">
        <v>41</v>
      </c>
      <c r="U11" s="6" t="s">
        <v>40</v>
      </c>
      <c r="V11" s="6" t="s">
        <v>40</v>
      </c>
      <c r="W11" s="6" t="s">
        <v>40</v>
      </c>
      <c r="X11" s="6" t="s">
        <v>43</v>
      </c>
      <c r="Y11" s="6" t="s">
        <v>43</v>
      </c>
    </row>
    <row r="12" spans="1:25" ht="15" hidden="1" customHeight="1" x14ac:dyDescent="0.25"/>
    <row r="13" spans="1:25" ht="15" customHeight="1" x14ac:dyDescent="0.25">
      <c r="B13" s="5" t="str">
        <f>IF(A4=A5,
"Exposure and Loss shown in "&amp;
IF(A4="unit-millions","Millions ",IF(A4="unit-thousands","Thousands ",IF(A4="unit-ones","",IF(A4="unit-billions","Billions ",""))))&amp;
A3&amp;
"",IF(A4="unit-none","Loss shown in "&amp;IF(A5="unit-millions","Millions ",IF(A5="unit-thousands","Thousands ",IF(A5="unit-ones","",IF(A5="unit-billions","Billions ",""))))&amp;
A3&amp;
"",IF(A5="unit-none","Exposure shown in "&amp;IF(A4="unit-millions","Millions ",IF(A4="unit-thousands","Thousands ",IF(A4="unit-ones","",IF(A4="unit-billions","Billions ",""))))&amp;
A3&amp;
"",
"Exposure shown in "&amp;
IF(A4="unit-millions","Millions ",IF(A4="unit-thousands","Thousands ",IF(A4="unit-ones","",IF(A4="unit-billions","Billions ",""))))&amp;
A3&amp;
""&amp;
" &amp; Loss shown in "&amp;
IF(A5="unit-millions","Millions ",IF(A5="unit-thousands","Thousands ",IF(A5="unit-ones","",IF(A5="unit-billions","Billions ",""))))&amp;
A3&amp;
"")))</f>
        <v>Exposure and Loss shown in Millions GBP</v>
      </c>
    </row>
    <row r="14" spans="1:25" ht="15" customHeight="1" x14ac:dyDescent="0.25"/>
    <row r="15" spans="1:25" ht="30" customHeight="1" x14ac:dyDescent="0.25">
      <c r="B15" s="16" t="s">
        <v>7</v>
      </c>
      <c r="C15" s="14" t="s">
        <v>8</v>
      </c>
      <c r="D15" s="14" t="s">
        <v>9</v>
      </c>
      <c r="E15" s="14" t="s">
        <v>10</v>
      </c>
      <c r="F15" s="14" t="s">
        <v>11</v>
      </c>
      <c r="G15" s="14" t="s">
        <v>12</v>
      </c>
      <c r="H15" s="14" t="s">
        <v>13</v>
      </c>
      <c r="I15" s="14" t="s">
        <v>14</v>
      </c>
      <c r="J15" s="14" t="s">
        <v>16</v>
      </c>
      <c r="K15" s="14" t="s">
        <v>17</v>
      </c>
      <c r="L15" s="14" t="s">
        <v>18</v>
      </c>
      <c r="M15" s="14" t="s">
        <v>23</v>
      </c>
      <c r="N15" s="14" t="s">
        <v>24</v>
      </c>
      <c r="O15" s="14" t="s">
        <v>25</v>
      </c>
      <c r="P15" s="14" t="s">
        <v>29</v>
      </c>
      <c r="Q15" s="14" t="s">
        <v>30</v>
      </c>
    </row>
    <row r="16" spans="1:25" ht="15" customHeight="1" x14ac:dyDescent="0.25">
      <c r="B16" s="17" t="s">
        <v>44</v>
      </c>
      <c r="C16" s="18">
        <v>115866720919.4892</v>
      </c>
      <c r="D16" s="18">
        <v>61248005801.018066</v>
      </c>
      <c r="E16" s="18">
        <v>10787387915.62068</v>
      </c>
      <c r="F16" s="18">
        <v>26912674437.543941</v>
      </c>
      <c r="G16" s="18">
        <v>19319606783.200771</v>
      </c>
      <c r="H16" s="18">
        <v>4018503632.5235109</v>
      </c>
      <c r="I16" s="18">
        <v>33511714775.66177</v>
      </c>
      <c r="J16" s="18">
        <v>61248005801.018143</v>
      </c>
      <c r="K16" s="18">
        <v>10787387915.62068</v>
      </c>
      <c r="L16" s="18">
        <v>26912674437.543941</v>
      </c>
      <c r="M16" s="18">
        <v>61248005801.018066</v>
      </c>
      <c r="N16" s="18">
        <v>10787387915.62068</v>
      </c>
      <c r="O16" s="18">
        <v>26912674437.543941</v>
      </c>
      <c r="P16" s="18">
        <v>59795341135.842377</v>
      </c>
      <c r="Q16" s="18">
        <v>26810199493.543941</v>
      </c>
    </row>
    <row r="17" spans="1:36" ht="15" customHeight="1" x14ac:dyDescent="0.25">
      <c r="B17" s="17" t="s">
        <v>45</v>
      </c>
      <c r="C17" s="18">
        <v>115347872549.59531</v>
      </c>
      <c r="D17" s="18">
        <v>59513931693.947517</v>
      </c>
      <c r="E17" s="18">
        <v>10521285817.68593</v>
      </c>
      <c r="F17" s="18">
        <v>24155746460.648708</v>
      </c>
      <c r="G17" s="18">
        <v>19319606783.200771</v>
      </c>
      <c r="H17" s="18">
        <v>4018503632.5235109</v>
      </c>
      <c r="I17" s="18">
        <v>33213007701.661732</v>
      </c>
      <c r="J17" s="18">
        <v>59513931693.947533</v>
      </c>
      <c r="K17" s="18">
        <v>10521285817.68593</v>
      </c>
      <c r="L17" s="18">
        <v>24155746460.648708</v>
      </c>
      <c r="M17" s="18">
        <v>59513931693.947594</v>
      </c>
      <c r="N17" s="18">
        <v>10521285817.68593</v>
      </c>
      <c r="O17" s="18">
        <v>24155746460.648708</v>
      </c>
      <c r="P17" s="18">
        <v>58061882228.771843</v>
      </c>
      <c r="Q17" s="18">
        <v>24053284339.848709</v>
      </c>
    </row>
    <row r="18" spans="1:36" ht="15" customHeight="1" x14ac:dyDescent="0.25">
      <c r="B18" s="17" t="s">
        <v>46</v>
      </c>
      <c r="C18" s="18">
        <v>114831321065.6617</v>
      </c>
      <c r="D18" s="18">
        <v>59504978502.74971</v>
      </c>
      <c r="E18" s="18">
        <v>10521285834.68593</v>
      </c>
      <c r="F18" s="18">
        <v>24155746474.448711</v>
      </c>
      <c r="G18" s="18">
        <v>19319606783.200771</v>
      </c>
      <c r="H18" s="18">
        <v>4018503632.5235109</v>
      </c>
      <c r="I18" s="18">
        <v>33213007701.661732</v>
      </c>
      <c r="J18" s="18">
        <v>59507092216.74971</v>
      </c>
      <c r="K18" s="18">
        <v>10521285834.68593</v>
      </c>
      <c r="L18" s="18">
        <v>24155746474.448711</v>
      </c>
      <c r="M18" s="18">
        <v>59507092216.749763</v>
      </c>
      <c r="N18" s="18">
        <v>10521285834.68593</v>
      </c>
      <c r="O18" s="18">
        <v>24155746474.448711</v>
      </c>
      <c r="P18" s="18">
        <v>58059402926.174263</v>
      </c>
      <c r="Q18" s="18">
        <v>24053284353.648708</v>
      </c>
    </row>
    <row r="19" spans="1:36" ht="15" customHeight="1" x14ac:dyDescent="0.25">
      <c r="B19" s="17" t="s">
        <v>47</v>
      </c>
      <c r="C19" s="18">
        <v>116220847033.8597</v>
      </c>
      <c r="D19" s="18">
        <v>66685213770.995087</v>
      </c>
      <c r="E19" s="18">
        <v>10747428819.71891</v>
      </c>
      <c r="F19" s="18">
        <v>25097259120.781731</v>
      </c>
      <c r="G19" s="18">
        <v>19319606783.8125</v>
      </c>
      <c r="H19" s="18">
        <v>2009251816.2617791</v>
      </c>
      <c r="I19" s="18">
        <v>7472926735.5739546</v>
      </c>
      <c r="J19" s="18">
        <v>66685213770.995102</v>
      </c>
      <c r="K19" s="18">
        <v>10747428819.71891</v>
      </c>
      <c r="L19" s="18">
        <v>25097259120.781731</v>
      </c>
      <c r="M19" s="18">
        <v>66685213770.995087</v>
      </c>
      <c r="N19" s="18">
        <v>10747428819.71891</v>
      </c>
      <c r="O19" s="18">
        <v>25097259120.781731</v>
      </c>
      <c r="P19" s="18">
        <v>65361129373.010696</v>
      </c>
      <c r="Q19" s="18">
        <v>25097259120.781731</v>
      </c>
    </row>
    <row r="20" spans="1:36" ht="15" customHeight="1" x14ac:dyDescent="0.25">
      <c r="A20" s="7"/>
      <c r="B20" s="19" t="s">
        <v>48</v>
      </c>
      <c r="C20" s="20">
        <v>198191</v>
      </c>
      <c r="D20" s="20">
        <v>88968</v>
      </c>
      <c r="E20" s="20">
        <v>4457</v>
      </c>
      <c r="F20" s="20">
        <v>14242</v>
      </c>
      <c r="G20" s="20">
        <v>33558</v>
      </c>
      <c r="H20" s="20">
        <v>50848</v>
      </c>
      <c r="I20" s="20">
        <v>72506</v>
      </c>
      <c r="J20" s="20">
        <v>88968</v>
      </c>
      <c r="K20" s="20">
        <v>4457</v>
      </c>
      <c r="L20" s="20">
        <v>14242</v>
      </c>
      <c r="M20" s="20">
        <v>88968</v>
      </c>
      <c r="N20" s="20">
        <v>4457</v>
      </c>
      <c r="O20" s="20">
        <v>14242</v>
      </c>
      <c r="P20" s="20">
        <v>85300</v>
      </c>
      <c r="Q20" s="20">
        <v>14225</v>
      </c>
      <c r="R20" s="7"/>
      <c r="S20" s="7"/>
      <c r="T20" s="7"/>
      <c r="U20" s="7"/>
      <c r="V20" s="7"/>
      <c r="W20" s="7"/>
      <c r="X20" s="7"/>
      <c r="Y20" s="7"/>
      <c r="Z20" s="7"/>
      <c r="AA20" s="7"/>
      <c r="AB20" s="7"/>
      <c r="AC20" s="7"/>
      <c r="AD20" s="7"/>
      <c r="AE20" s="7"/>
      <c r="AF20" s="7"/>
      <c r="AG20" s="7"/>
      <c r="AH20" s="7"/>
      <c r="AI20" s="7"/>
      <c r="AJ20" s="7"/>
    </row>
    <row r="21" spans="1:36" ht="15" customHeight="1" x14ac:dyDescent="0.25">
      <c r="B21" s="21" t="str">
        <f>IF(A1="geocoded", "* Location limits, policy limits and risk counts based on geocoded risks.", "* Location limits, policy limits and risk counts based on all risks.")</f>
        <v>* Location limits, policy limits and risk counts based on geocoded risks.</v>
      </c>
      <c r="C21" s="22"/>
    </row>
    <row r="22" spans="1:36" ht="15" customHeight="1" x14ac:dyDescent="0.25"/>
    <row r="23" spans="1:36" ht="15" customHeight="1" x14ac:dyDescent="0.25">
      <c r="B23" s="23" t="s">
        <v>49</v>
      </c>
      <c r="C23" s="24" t="s">
        <v>50</v>
      </c>
      <c r="D23" s="24"/>
      <c r="E23" s="24"/>
      <c r="F23" s="24"/>
      <c r="G23" s="24"/>
      <c r="H23" s="24"/>
      <c r="I23" s="24"/>
      <c r="J23" s="24"/>
      <c r="K23" s="24"/>
      <c r="L23" s="24"/>
      <c r="M23" s="24"/>
      <c r="N23" s="24"/>
      <c r="O23" s="24"/>
      <c r="P23" s="24"/>
      <c r="Q23" s="24"/>
      <c r="R23" s="24"/>
      <c r="S23" s="24"/>
      <c r="T23" s="24"/>
      <c r="U23" s="24"/>
      <c r="V23" s="24"/>
      <c r="W23" s="24"/>
      <c r="X23" s="24"/>
      <c r="Y23" s="24"/>
      <c r="Z23" s="25"/>
      <c r="AA23" s="7"/>
    </row>
    <row r="24" spans="1:36" ht="45" customHeight="1" x14ac:dyDescent="0.25">
      <c r="B24" s="26" t="s">
        <v>51</v>
      </c>
      <c r="C24" s="27" t="s">
        <v>8</v>
      </c>
      <c r="D24" s="27" t="s">
        <v>9</v>
      </c>
      <c r="E24" s="27" t="s">
        <v>10</v>
      </c>
      <c r="F24" s="27" t="s">
        <v>11</v>
      </c>
      <c r="G24" s="27" t="s">
        <v>12</v>
      </c>
      <c r="H24" s="27" t="s">
        <v>13</v>
      </c>
      <c r="I24" s="27" t="s">
        <v>14</v>
      </c>
      <c r="J24" s="27" t="s">
        <v>15</v>
      </c>
      <c r="K24" s="27" t="s">
        <v>16</v>
      </c>
      <c r="L24" s="27" t="s">
        <v>17</v>
      </c>
      <c r="M24" s="27" t="s">
        <v>18</v>
      </c>
      <c r="N24" s="27" t="s">
        <v>19</v>
      </c>
      <c r="O24" s="27" t="s">
        <v>20</v>
      </c>
      <c r="P24" s="27" t="s">
        <v>21</v>
      </c>
      <c r="Q24" s="27" t="s">
        <v>22</v>
      </c>
      <c r="R24" s="27" t="s">
        <v>23</v>
      </c>
      <c r="S24" s="27" t="s">
        <v>24</v>
      </c>
      <c r="T24" s="27" t="s">
        <v>25</v>
      </c>
      <c r="U24" s="27" t="s">
        <v>26</v>
      </c>
      <c r="V24" s="27" t="s">
        <v>27</v>
      </c>
      <c r="W24" s="27" t="s">
        <v>28</v>
      </c>
      <c r="X24" s="27" t="s">
        <v>29</v>
      </c>
      <c r="Y24" s="27" t="s">
        <v>30</v>
      </c>
      <c r="AA24" s="7"/>
    </row>
    <row r="25" spans="1:36" ht="15" customHeight="1" x14ac:dyDescent="0.25">
      <c r="B25" s="28" t="s">
        <v>52</v>
      </c>
      <c r="C25" s="29"/>
      <c r="D25" s="29"/>
      <c r="E25" s="29"/>
      <c r="F25" s="29"/>
      <c r="G25" s="29"/>
      <c r="H25" s="29"/>
      <c r="I25" s="29"/>
      <c r="J25" s="29"/>
      <c r="K25" s="29"/>
      <c r="L25" s="29"/>
      <c r="M25" s="29"/>
      <c r="N25" s="29"/>
      <c r="O25" s="29"/>
      <c r="P25" s="29"/>
      <c r="Q25" s="29"/>
      <c r="R25" s="29"/>
      <c r="S25" s="29"/>
      <c r="T25" s="29"/>
      <c r="U25" s="29"/>
      <c r="V25" s="29"/>
      <c r="W25" s="29"/>
      <c r="X25" s="29"/>
      <c r="Y25" s="29"/>
      <c r="AA25" s="7"/>
    </row>
    <row r="26" spans="1:36" ht="15" customHeight="1" x14ac:dyDescent="0.25">
      <c r="B26" s="30">
        <v>2</v>
      </c>
      <c r="C26" s="31">
        <v>1032305.59899211</v>
      </c>
      <c r="D26" s="31">
        <v>246010.11265733439</v>
      </c>
      <c r="E26" s="31">
        <v>193757.25466753269</v>
      </c>
      <c r="F26" s="31">
        <v>60744.221265845663</v>
      </c>
      <c r="G26" s="31">
        <v>148261.04187830631</v>
      </c>
      <c r="H26" s="31">
        <v>8958.1401016351974</v>
      </c>
      <c r="I26" s="31">
        <v>95891.575553836461</v>
      </c>
      <c r="J26" s="31">
        <v>3306498.1709302161</v>
      </c>
      <c r="K26" s="31">
        <v>910691.34560208791</v>
      </c>
      <c r="L26" s="31">
        <v>30802.688004156189</v>
      </c>
      <c r="M26" s="31">
        <v>36637.524333807727</v>
      </c>
      <c r="N26" s="31">
        <v>580992.66429617943</v>
      </c>
      <c r="O26" s="31">
        <v>786052.54288365727</v>
      </c>
      <c r="P26" s="31">
        <v>444832.62440400518</v>
      </c>
      <c r="Q26" s="31">
        <v>1196676.551124413</v>
      </c>
      <c r="R26" s="31">
        <v>821248.76488783688</v>
      </c>
      <c r="S26" s="31">
        <v>9585.7530924914081</v>
      </c>
      <c r="T26" s="31">
        <v>32429.870835426569</v>
      </c>
      <c r="U26" s="31">
        <v>178507.41847943881</v>
      </c>
      <c r="V26" s="31">
        <v>260359.6338738896</v>
      </c>
      <c r="W26" s="31">
        <v>139817.05500394531</v>
      </c>
      <c r="X26" s="31">
        <v>52723.393902434997</v>
      </c>
      <c r="Y26" s="31">
        <v>75151.711081310321</v>
      </c>
      <c r="AA26" s="7"/>
    </row>
    <row r="27" spans="1:36" ht="15" customHeight="1" x14ac:dyDescent="0.25">
      <c r="A27" s="7"/>
      <c r="B27" s="32">
        <v>5</v>
      </c>
      <c r="C27" s="33">
        <v>4488174.0146010024</v>
      </c>
      <c r="D27" s="33">
        <v>918138.91416977183</v>
      </c>
      <c r="E27" s="33">
        <v>586707.19143248559</v>
      </c>
      <c r="F27" s="33">
        <v>284172.45957210392</v>
      </c>
      <c r="G27" s="33">
        <v>607442.78636019223</v>
      </c>
      <c r="H27" s="33">
        <v>39753.286923874628</v>
      </c>
      <c r="I27" s="33">
        <v>366853.05958438909</v>
      </c>
      <c r="J27" s="33">
        <v>10662775.0904315</v>
      </c>
      <c r="K27" s="33">
        <v>3125477.804189248</v>
      </c>
      <c r="L27" s="33">
        <v>151325.65193333011</v>
      </c>
      <c r="M27" s="33">
        <v>273543.62855094811</v>
      </c>
      <c r="N27" s="33">
        <v>1573330.1464549089</v>
      </c>
      <c r="O27" s="33">
        <v>2638314.4715504581</v>
      </c>
      <c r="P27" s="33">
        <v>1243151.0445286471</v>
      </c>
      <c r="Q27" s="33">
        <v>5381210.6386434082</v>
      </c>
      <c r="R27" s="33">
        <v>2676631.814661792</v>
      </c>
      <c r="S27" s="33">
        <v>80171.739713085684</v>
      </c>
      <c r="T27" s="33">
        <v>232883.69516340509</v>
      </c>
      <c r="U27" s="33">
        <v>822678.03654730564</v>
      </c>
      <c r="V27" s="33">
        <v>2291965.1438065371</v>
      </c>
      <c r="W27" s="33">
        <v>665405.71471632016</v>
      </c>
      <c r="X27" s="33">
        <v>455067.83054261492</v>
      </c>
      <c r="Y27" s="33">
        <v>797785.93865928357</v>
      </c>
      <c r="Z27" s="7"/>
      <c r="AA27" s="7"/>
      <c r="AB27" s="7"/>
      <c r="AC27" s="7"/>
      <c r="AD27" s="7"/>
      <c r="AE27" s="7"/>
      <c r="AF27" s="7"/>
      <c r="AG27" s="7"/>
      <c r="AH27" s="7"/>
      <c r="AI27" s="7"/>
    </row>
    <row r="28" spans="1:36" ht="15" customHeight="1" x14ac:dyDescent="0.25">
      <c r="A28" s="7"/>
      <c r="B28" s="32">
        <v>10</v>
      </c>
      <c r="C28" s="33">
        <v>8361649.8295281874</v>
      </c>
      <c r="D28" s="33">
        <v>2311381.0518813892</v>
      </c>
      <c r="E28" s="33">
        <v>998074.56816499645</v>
      </c>
      <c r="F28" s="33">
        <v>1836428.8604634299</v>
      </c>
      <c r="G28" s="33">
        <v>1126692.3780753261</v>
      </c>
      <c r="H28" s="33">
        <v>104044.56643758911</v>
      </c>
      <c r="I28" s="33">
        <v>706360.88713180448</v>
      </c>
      <c r="J28" s="33">
        <v>19058046.884516921</v>
      </c>
      <c r="K28" s="33">
        <v>6036617.1508882903</v>
      </c>
      <c r="L28" s="33">
        <v>368061.38348442438</v>
      </c>
      <c r="M28" s="33">
        <v>651013.41744546581</v>
      </c>
      <c r="N28" s="33">
        <v>2586381.1134672789</v>
      </c>
      <c r="O28" s="33">
        <v>4946612.5869785734</v>
      </c>
      <c r="P28" s="33">
        <v>2010584.298504615</v>
      </c>
      <c r="Q28" s="33">
        <v>14483064.64510004</v>
      </c>
      <c r="R28" s="33">
        <v>5021860.400940462</v>
      </c>
      <c r="S28" s="33">
        <v>278239.96315089258</v>
      </c>
      <c r="T28" s="33">
        <v>526668.50790197193</v>
      </c>
      <c r="U28" s="33">
        <v>1998282.163272664</v>
      </c>
      <c r="V28" s="33">
        <v>4859536.5367322974</v>
      </c>
      <c r="W28" s="33">
        <v>1568945.606994685</v>
      </c>
      <c r="X28" s="33">
        <v>1389850.1570860669</v>
      </c>
      <c r="Y28" s="33">
        <v>2084978.2977280761</v>
      </c>
      <c r="Z28" s="7"/>
      <c r="AA28" s="7"/>
      <c r="AB28" s="7"/>
      <c r="AC28" s="7"/>
      <c r="AD28" s="7"/>
      <c r="AE28" s="7"/>
      <c r="AF28" s="7"/>
      <c r="AG28" s="7"/>
      <c r="AH28" s="7"/>
      <c r="AI28" s="7"/>
    </row>
    <row r="29" spans="1:36" ht="15" customHeight="1" x14ac:dyDescent="0.25">
      <c r="A29" s="7"/>
      <c r="B29" s="32">
        <v>20</v>
      </c>
      <c r="C29" s="33">
        <v>13777793.202839529</v>
      </c>
      <c r="D29" s="33">
        <v>5427001.7960163942</v>
      </c>
      <c r="E29" s="33">
        <v>1602015.502263515</v>
      </c>
      <c r="F29" s="33">
        <v>2340552.2046901281</v>
      </c>
      <c r="G29" s="33">
        <v>2040713.831560893</v>
      </c>
      <c r="H29" s="33">
        <v>254728.17439202551</v>
      </c>
      <c r="I29" s="33">
        <v>1231630.0149112151</v>
      </c>
      <c r="J29" s="33">
        <v>33007783.62548285</v>
      </c>
      <c r="K29" s="33">
        <v>10648362.089914311</v>
      </c>
      <c r="L29" s="33">
        <v>835309.61755561398</v>
      </c>
      <c r="M29" s="33">
        <v>1239190.8793401499</v>
      </c>
      <c r="N29" s="33">
        <v>4165911.3666596622</v>
      </c>
      <c r="O29" s="33">
        <v>7398278.1831294363</v>
      </c>
      <c r="P29" s="33">
        <v>3186437.395169761</v>
      </c>
      <c r="Q29" s="33">
        <v>29247826.5564574</v>
      </c>
      <c r="R29" s="33">
        <v>8550386.6088470165</v>
      </c>
      <c r="S29" s="33">
        <v>734545.88148443005</v>
      </c>
      <c r="T29" s="33">
        <v>1020622.755445838</v>
      </c>
      <c r="U29" s="33">
        <v>3777518.1383717032</v>
      </c>
      <c r="V29" s="33">
        <v>7115787.4724438526</v>
      </c>
      <c r="W29" s="33">
        <v>2849319.557682083</v>
      </c>
      <c r="X29" s="33">
        <v>3554863.9036215292</v>
      </c>
      <c r="Y29" s="33">
        <v>4440330.8761011548</v>
      </c>
      <c r="Z29" s="7"/>
      <c r="AA29" s="7"/>
      <c r="AB29" s="7"/>
      <c r="AC29" s="7"/>
      <c r="AD29" s="7"/>
      <c r="AE29" s="7"/>
      <c r="AF29" s="7"/>
      <c r="AG29" s="7"/>
      <c r="AH29" s="7"/>
      <c r="AI29" s="7"/>
    </row>
    <row r="30" spans="1:36" ht="15" customHeight="1" x14ac:dyDescent="0.25">
      <c r="A30" s="7"/>
      <c r="B30" s="32">
        <v>25</v>
      </c>
      <c r="C30" s="33">
        <v>16518223.18622376</v>
      </c>
      <c r="D30" s="33">
        <v>6841714.3655129094</v>
      </c>
      <c r="E30" s="33">
        <v>1885990.937989139</v>
      </c>
      <c r="F30" s="33">
        <v>2619429.629811801</v>
      </c>
      <c r="G30" s="33">
        <v>2394090.5540632028</v>
      </c>
      <c r="H30" s="33">
        <v>322437.65946007962</v>
      </c>
      <c r="I30" s="33">
        <v>1442527.226415267</v>
      </c>
      <c r="J30" s="33">
        <v>38767210.180542067</v>
      </c>
      <c r="K30" s="33">
        <v>12433430.933854509</v>
      </c>
      <c r="L30" s="33">
        <v>1052013.6304348491</v>
      </c>
      <c r="M30" s="33">
        <v>1497293.5236458411</v>
      </c>
      <c r="N30" s="33">
        <v>4902382.6977063194</v>
      </c>
      <c r="O30" s="33">
        <v>8538423.6417792477</v>
      </c>
      <c r="P30" s="33">
        <v>3645530.670342728</v>
      </c>
      <c r="Q30" s="33">
        <v>35204179.191549279</v>
      </c>
      <c r="R30" s="33">
        <v>9894817.5948332157</v>
      </c>
      <c r="S30" s="33">
        <v>943333.71281963796</v>
      </c>
      <c r="T30" s="33">
        <v>1220443.029490409</v>
      </c>
      <c r="U30" s="33">
        <v>4513036.3783802446</v>
      </c>
      <c r="V30" s="33">
        <v>8308595.6728336262</v>
      </c>
      <c r="W30" s="33">
        <v>3366865.6186127388</v>
      </c>
      <c r="X30" s="33">
        <v>4841011.6034507416</v>
      </c>
      <c r="Y30" s="33">
        <v>5273402.5986947408</v>
      </c>
      <c r="Z30" s="7"/>
      <c r="AA30" s="7"/>
      <c r="AB30" s="7"/>
      <c r="AC30" s="7"/>
      <c r="AD30" s="7"/>
      <c r="AE30" s="7"/>
      <c r="AF30" s="7"/>
      <c r="AG30" s="7"/>
      <c r="AH30" s="7"/>
      <c r="AI30" s="7"/>
    </row>
    <row r="31" spans="1:36" ht="15" customHeight="1" x14ac:dyDescent="0.25">
      <c r="A31" s="7"/>
      <c r="B31" s="32">
        <v>50</v>
      </c>
      <c r="C31" s="33">
        <v>26351760.953197371</v>
      </c>
      <c r="D31" s="33">
        <v>12300402.445487499</v>
      </c>
      <c r="E31" s="33">
        <v>3269064.3613926568</v>
      </c>
      <c r="F31" s="33">
        <v>5970226.6176998178</v>
      </c>
      <c r="G31" s="33">
        <v>3866949.3505353299</v>
      </c>
      <c r="H31" s="33">
        <v>623539.67965346342</v>
      </c>
      <c r="I31" s="33">
        <v>2330853.8406960759</v>
      </c>
      <c r="J31" s="33">
        <v>62928907.199863449</v>
      </c>
      <c r="K31" s="33">
        <v>18922044.138674181</v>
      </c>
      <c r="L31" s="33">
        <v>2395651.8608026071</v>
      </c>
      <c r="M31" s="33">
        <v>2494157.2873152178</v>
      </c>
      <c r="N31" s="33">
        <v>7544110.121504412</v>
      </c>
      <c r="O31" s="33">
        <v>13013064.09594544</v>
      </c>
      <c r="P31" s="33">
        <v>5756711.6832757322</v>
      </c>
      <c r="Q31" s="33">
        <v>61816810.765863054</v>
      </c>
      <c r="R31" s="33">
        <v>14927149.137859</v>
      </c>
      <c r="S31" s="33">
        <v>2315719.9605612629</v>
      </c>
      <c r="T31" s="33">
        <v>2030740.304388507</v>
      </c>
      <c r="U31" s="33">
        <v>7544110.121504412</v>
      </c>
      <c r="V31" s="33">
        <v>12608643.385378441</v>
      </c>
      <c r="W31" s="33">
        <v>5634778.205372097</v>
      </c>
      <c r="X31" s="33">
        <v>12117953.72510062</v>
      </c>
      <c r="Y31" s="33">
        <v>10102190.655007981</v>
      </c>
      <c r="Z31" s="7"/>
      <c r="AA31" s="7"/>
      <c r="AB31" s="7"/>
      <c r="AC31" s="7"/>
      <c r="AD31" s="7"/>
      <c r="AE31" s="7"/>
      <c r="AF31" s="7"/>
      <c r="AG31" s="7"/>
      <c r="AH31" s="7"/>
      <c r="AI31" s="7"/>
    </row>
    <row r="32" spans="1:36" ht="15" customHeight="1" x14ac:dyDescent="0.25">
      <c r="A32" s="7"/>
      <c r="B32" s="32">
        <v>100</v>
      </c>
      <c r="C32" s="33">
        <v>43013934.328673422</v>
      </c>
      <c r="D32" s="33">
        <v>20933013.83782075</v>
      </c>
      <c r="E32" s="33">
        <v>5422210.1623874456</v>
      </c>
      <c r="F32" s="33">
        <v>10502833.260951331</v>
      </c>
      <c r="G32" s="33">
        <v>6127807.9065949768</v>
      </c>
      <c r="H32" s="33">
        <v>976626.232478366</v>
      </c>
      <c r="I32" s="33">
        <v>3452848.3444762779</v>
      </c>
      <c r="J32" s="33">
        <v>103787520.1010114</v>
      </c>
      <c r="K32" s="33">
        <v>25879479.99458738</v>
      </c>
      <c r="L32" s="33">
        <v>4676854.3070869921</v>
      </c>
      <c r="M32" s="33">
        <v>3758216.4968794258</v>
      </c>
      <c r="N32" s="33">
        <v>11679307.373676259</v>
      </c>
      <c r="O32" s="33">
        <v>34169336.842886358</v>
      </c>
      <c r="P32" s="33">
        <v>8886612.0461316705</v>
      </c>
      <c r="Q32" s="33">
        <v>103787520.1010114</v>
      </c>
      <c r="R32" s="33">
        <v>21076248.644599538</v>
      </c>
      <c r="S32" s="33">
        <v>4434711.0438739592</v>
      </c>
      <c r="T32" s="33">
        <v>2994791.6231230572</v>
      </c>
      <c r="U32" s="33">
        <v>11679307.373676259</v>
      </c>
      <c r="V32" s="33">
        <v>33991608.64286539</v>
      </c>
      <c r="W32" s="33">
        <v>8886612.0461316705</v>
      </c>
      <c r="X32" s="33">
        <v>26791326.702125501</v>
      </c>
      <c r="Y32" s="33">
        <v>17815871.398077719</v>
      </c>
      <c r="Z32" s="7"/>
      <c r="AA32" s="7"/>
      <c r="AB32" s="7"/>
      <c r="AC32" s="7"/>
      <c r="AD32" s="7"/>
      <c r="AE32" s="7"/>
      <c r="AF32" s="7"/>
      <c r="AG32" s="7"/>
      <c r="AH32" s="7"/>
      <c r="AI32" s="7"/>
    </row>
    <row r="33" spans="1:35" ht="15" customHeight="1" x14ac:dyDescent="0.25">
      <c r="A33" s="7"/>
      <c r="B33" s="32">
        <v>200</v>
      </c>
      <c r="C33" s="33">
        <v>58026411.71372059</v>
      </c>
      <c r="D33" s="33">
        <v>33664779.35255222</v>
      </c>
      <c r="E33" s="33">
        <v>8300510.5637231432</v>
      </c>
      <c r="F33" s="33">
        <v>15257556.489172401</v>
      </c>
      <c r="G33" s="33">
        <v>8594346.8444692921</v>
      </c>
      <c r="H33" s="33">
        <v>1383839.292000833</v>
      </c>
      <c r="I33" s="33">
        <v>4903493.6659287522</v>
      </c>
      <c r="J33" s="33">
        <v>147074777.70894119</v>
      </c>
      <c r="K33" s="33">
        <v>32835690.565965291</v>
      </c>
      <c r="L33" s="33">
        <v>8751450.7435950991</v>
      </c>
      <c r="M33" s="33">
        <v>5403095.3053923259</v>
      </c>
      <c r="N33" s="33">
        <v>15228004.532201029</v>
      </c>
      <c r="O33" s="33">
        <v>36206424.281958953</v>
      </c>
      <c r="P33" s="33">
        <v>12979192.936841849</v>
      </c>
      <c r="Q33" s="33">
        <v>146561372.86917329</v>
      </c>
      <c r="R33" s="33">
        <v>27353606.775772959</v>
      </c>
      <c r="S33" s="33">
        <v>8103107.8606263539</v>
      </c>
      <c r="T33" s="33">
        <v>4048519.2741189119</v>
      </c>
      <c r="U33" s="33">
        <v>15228004.532201029</v>
      </c>
      <c r="V33" s="33">
        <v>36002811.462461278</v>
      </c>
      <c r="W33" s="33">
        <v>12979192.936841849</v>
      </c>
      <c r="X33" s="33">
        <v>53063309.522058181</v>
      </c>
      <c r="Y33" s="33">
        <v>32405399.827272061</v>
      </c>
      <c r="Z33" s="7"/>
      <c r="AA33" s="7"/>
      <c r="AB33" s="7"/>
      <c r="AC33" s="7"/>
      <c r="AD33" s="7"/>
      <c r="AE33" s="7"/>
      <c r="AF33" s="7"/>
      <c r="AG33" s="7"/>
      <c r="AH33" s="7"/>
      <c r="AI33" s="7"/>
    </row>
    <row r="34" spans="1:35" ht="15" customHeight="1" x14ac:dyDescent="0.25">
      <c r="A34" s="7"/>
      <c r="B34" s="32">
        <v>250</v>
      </c>
      <c r="C34" s="33">
        <v>66572683.236076467</v>
      </c>
      <c r="D34" s="33">
        <v>40904248.828882188</v>
      </c>
      <c r="E34" s="33">
        <v>8889979.2345846519</v>
      </c>
      <c r="F34" s="33">
        <v>16704941.904091351</v>
      </c>
      <c r="G34" s="33">
        <v>9481608.5103558991</v>
      </c>
      <c r="H34" s="33">
        <v>1525664.264800135</v>
      </c>
      <c r="I34" s="33">
        <v>5303428.7325433344</v>
      </c>
      <c r="J34" s="33">
        <v>157473581.2618103</v>
      </c>
      <c r="K34" s="33">
        <v>35789905.924897373</v>
      </c>
      <c r="L34" s="33">
        <v>10439059.68885749</v>
      </c>
      <c r="M34" s="33">
        <v>6081630.7715864154</v>
      </c>
      <c r="N34" s="33">
        <v>17076230.77393727</v>
      </c>
      <c r="O34" s="33">
        <v>37112524.376708701</v>
      </c>
      <c r="P34" s="33">
        <v>14044790.406867409</v>
      </c>
      <c r="Q34" s="33">
        <v>157473581.38151029</v>
      </c>
      <c r="R34" s="33">
        <v>32268810.39107294</v>
      </c>
      <c r="S34" s="33">
        <v>9050494.7229635157</v>
      </c>
      <c r="T34" s="33">
        <v>4809789.2250757301</v>
      </c>
      <c r="U34" s="33">
        <v>17076230.77393727</v>
      </c>
      <c r="V34" s="33">
        <v>36737339.085368969</v>
      </c>
      <c r="W34" s="33">
        <v>14044790.406867409</v>
      </c>
      <c r="X34" s="33">
        <v>62283051.380591363</v>
      </c>
      <c r="Y34" s="33">
        <v>37502996.321009539</v>
      </c>
      <c r="Z34" s="7"/>
      <c r="AA34" s="7"/>
      <c r="AB34" s="7"/>
      <c r="AC34" s="7"/>
      <c r="AD34" s="7"/>
      <c r="AE34" s="7"/>
      <c r="AF34" s="7"/>
      <c r="AG34" s="7"/>
      <c r="AH34" s="7"/>
      <c r="AI34" s="7"/>
    </row>
    <row r="35" spans="1:35" ht="15" customHeight="1" x14ac:dyDescent="0.25">
      <c r="A35" s="7"/>
      <c r="B35" s="32">
        <v>500</v>
      </c>
      <c r="C35" s="33">
        <v>93511465.865810394</v>
      </c>
      <c r="D35" s="33">
        <v>49445953.460181333</v>
      </c>
      <c r="E35" s="33">
        <v>10789706.287548341</v>
      </c>
      <c r="F35" s="33">
        <v>20542546.68091546</v>
      </c>
      <c r="G35" s="33">
        <v>11770196.394352321</v>
      </c>
      <c r="H35" s="33">
        <v>2024344.069821371</v>
      </c>
      <c r="I35" s="33">
        <v>7407648.593574767</v>
      </c>
      <c r="J35" s="33">
        <v>198731241.04920191</v>
      </c>
      <c r="K35" s="33">
        <v>50004767.464935392</v>
      </c>
      <c r="L35" s="33">
        <v>23479272.37161281</v>
      </c>
      <c r="M35" s="33">
        <v>8180350.5482680704</v>
      </c>
      <c r="N35" s="33">
        <v>19796593.975172289</v>
      </c>
      <c r="O35" s="33">
        <v>43575826.38664709</v>
      </c>
      <c r="P35" s="33">
        <v>17499450.939020101</v>
      </c>
      <c r="Q35" s="33">
        <v>198731240.97250459</v>
      </c>
      <c r="R35" s="33">
        <v>43451124.28248921</v>
      </c>
      <c r="S35" s="33">
        <v>17542425.533116508</v>
      </c>
      <c r="T35" s="33">
        <v>6158102.5248487182</v>
      </c>
      <c r="U35" s="33">
        <v>19796593.975172289</v>
      </c>
      <c r="V35" s="33">
        <v>43575826.38664709</v>
      </c>
      <c r="W35" s="33">
        <v>17499450.939020101</v>
      </c>
      <c r="X35" s="33">
        <v>115599990.8489109</v>
      </c>
      <c r="Y35" s="33">
        <v>64514112.887114957</v>
      </c>
      <c r="Z35" s="7"/>
      <c r="AA35" s="7"/>
      <c r="AB35" s="7"/>
      <c r="AC35" s="7"/>
      <c r="AD35" s="7"/>
      <c r="AE35" s="7"/>
      <c r="AF35" s="7"/>
      <c r="AG35" s="7"/>
      <c r="AH35" s="7"/>
      <c r="AI35" s="7"/>
    </row>
    <row r="36" spans="1:35" ht="15" customHeight="1" x14ac:dyDescent="0.25">
      <c r="B36" s="30">
        <v>1000</v>
      </c>
      <c r="C36" s="31">
        <v>105545975.5032353</v>
      </c>
      <c r="D36" s="31">
        <v>69335942.633509532</v>
      </c>
      <c r="E36" s="31">
        <v>13360581.24676675</v>
      </c>
      <c r="F36" s="31">
        <v>28926893.579613149</v>
      </c>
      <c r="G36" s="31">
        <v>15002233.99101045</v>
      </c>
      <c r="H36" s="31">
        <v>2364353.150295652</v>
      </c>
      <c r="I36" s="31">
        <v>8677423.5832459647</v>
      </c>
      <c r="J36" s="31">
        <v>228482236.13650599</v>
      </c>
      <c r="K36" s="31">
        <v>62730108.010071144</v>
      </c>
      <c r="L36" s="31">
        <v>29845486.847903188</v>
      </c>
      <c r="M36" s="31">
        <v>12968919.310633929</v>
      </c>
      <c r="N36" s="31">
        <v>23611300.42424171</v>
      </c>
      <c r="O36" s="31">
        <v>60445006.969564319</v>
      </c>
      <c r="P36" s="31">
        <v>21742814.360489119</v>
      </c>
      <c r="Q36" s="31">
        <v>228482236.24628881</v>
      </c>
      <c r="R36" s="31">
        <v>58712666.871869728</v>
      </c>
      <c r="S36" s="31">
        <v>28206684.315733299</v>
      </c>
      <c r="T36" s="31">
        <v>9656214.3569827434</v>
      </c>
      <c r="U36" s="31">
        <v>23611300.42424171</v>
      </c>
      <c r="V36" s="31">
        <v>60445006.969564319</v>
      </c>
      <c r="W36" s="31">
        <v>21742814.360489119</v>
      </c>
      <c r="X36" s="31">
        <v>212466480.40019539</v>
      </c>
      <c r="Y36" s="31">
        <v>85348391.89620699</v>
      </c>
      <c r="AA36" s="7"/>
    </row>
    <row r="37" spans="1:35" ht="15" customHeight="1" x14ac:dyDescent="0.25">
      <c r="B37" s="28" t="s">
        <v>53</v>
      </c>
      <c r="C37" s="29"/>
      <c r="D37" s="29"/>
      <c r="E37" s="29"/>
      <c r="F37" s="29"/>
      <c r="G37" s="29"/>
      <c r="H37" s="29"/>
      <c r="I37" s="29"/>
      <c r="J37" s="29"/>
      <c r="K37" s="29"/>
      <c r="L37" s="29"/>
      <c r="M37" s="29"/>
      <c r="N37" s="29"/>
      <c r="O37" s="29"/>
      <c r="P37" s="29"/>
      <c r="Q37" s="29"/>
      <c r="R37" s="29"/>
      <c r="S37" s="29"/>
      <c r="T37" s="29"/>
      <c r="U37" s="29"/>
      <c r="V37" s="29"/>
      <c r="W37" s="29"/>
      <c r="X37" s="29"/>
      <c r="Y37" s="29"/>
      <c r="AA37" s="7"/>
    </row>
    <row r="38" spans="1:35" ht="15" customHeight="1" x14ac:dyDescent="0.25">
      <c r="B38" s="30">
        <v>2</v>
      </c>
      <c r="C38" s="34">
        <v>1503305.682405005</v>
      </c>
      <c r="D38" s="34">
        <v>419815.16629360948</v>
      </c>
      <c r="E38" s="34">
        <v>244518.79109214351</v>
      </c>
      <c r="F38" s="34">
        <v>99960.281788825669</v>
      </c>
      <c r="G38" s="34">
        <v>223073.74894304411</v>
      </c>
      <c r="H38" s="34">
        <v>12845.419714701229</v>
      </c>
      <c r="I38" s="34">
        <v>149837.0524061863</v>
      </c>
      <c r="J38" s="34">
        <v>5955758.9813248897</v>
      </c>
      <c r="K38" s="34">
        <v>1609066.823962132</v>
      </c>
      <c r="L38" s="34">
        <v>44520.054270618741</v>
      </c>
      <c r="M38" s="34">
        <v>53407.968671998096</v>
      </c>
      <c r="N38" s="34">
        <v>979572.1119935239</v>
      </c>
      <c r="O38" s="34">
        <v>1297367.263248998</v>
      </c>
      <c r="P38" s="34">
        <v>748121.68595474609</v>
      </c>
      <c r="Q38" s="34">
        <v>2551200.687861403</v>
      </c>
      <c r="R38" s="34">
        <v>1452728.491675627</v>
      </c>
      <c r="S38" s="34">
        <v>13937.625811943301</v>
      </c>
      <c r="T38" s="34">
        <v>47775.144356323879</v>
      </c>
      <c r="U38" s="34">
        <v>310603.56423098879</v>
      </c>
      <c r="V38" s="34">
        <v>430885.20586528262</v>
      </c>
      <c r="W38" s="34">
        <v>241347.6020409895</v>
      </c>
      <c r="X38" s="34">
        <v>68892.045135602864</v>
      </c>
      <c r="Y38" s="34">
        <v>95613.750290777592</v>
      </c>
      <c r="AA38" s="7"/>
    </row>
    <row r="39" spans="1:35" ht="15" customHeight="1" x14ac:dyDescent="0.25">
      <c r="A39" s="7"/>
      <c r="B39" s="32">
        <v>5</v>
      </c>
      <c r="C39" s="35">
        <v>6535359.1980345473</v>
      </c>
      <c r="D39" s="35">
        <v>1444244.9538003691</v>
      </c>
      <c r="E39" s="35">
        <v>885362.88682504022</v>
      </c>
      <c r="F39" s="35">
        <v>440115.95505618153</v>
      </c>
      <c r="G39" s="35">
        <v>943809.72141614428</v>
      </c>
      <c r="H39" s="35">
        <v>58170.962305877947</v>
      </c>
      <c r="I39" s="35">
        <v>588488.13334357482</v>
      </c>
      <c r="J39" s="35">
        <v>17922654.70812083</v>
      </c>
      <c r="K39" s="35">
        <v>5111841.6505021462</v>
      </c>
      <c r="L39" s="35">
        <v>212442.39850897211</v>
      </c>
      <c r="M39" s="35">
        <v>350883.55894421792</v>
      </c>
      <c r="N39" s="35">
        <v>2740877.3556427192</v>
      </c>
      <c r="O39" s="35">
        <v>4259247.1974824034</v>
      </c>
      <c r="P39" s="35">
        <v>2102564.4756190619</v>
      </c>
      <c r="Q39" s="35">
        <v>8600431.5409844108</v>
      </c>
      <c r="R39" s="35">
        <v>4443639.6112992717</v>
      </c>
      <c r="S39" s="35">
        <v>103318.9924221394</v>
      </c>
      <c r="T39" s="35">
        <v>301174.41691084101</v>
      </c>
      <c r="U39" s="35">
        <v>1240031.8193033889</v>
      </c>
      <c r="V39" s="35">
        <v>3132349.4163616751</v>
      </c>
      <c r="W39" s="35">
        <v>982963.59463823331</v>
      </c>
      <c r="X39" s="35">
        <v>552365.96102039004</v>
      </c>
      <c r="Y39" s="35">
        <v>924808.53869256284</v>
      </c>
      <c r="Z39" s="7"/>
      <c r="AA39" s="7"/>
      <c r="AB39" s="7"/>
      <c r="AC39" s="7"/>
      <c r="AD39" s="7"/>
      <c r="AE39" s="36"/>
      <c r="AF39" s="7"/>
      <c r="AG39" s="7"/>
      <c r="AH39" s="7"/>
      <c r="AI39" s="7"/>
    </row>
    <row r="40" spans="1:35" ht="15" customHeight="1" x14ac:dyDescent="0.25">
      <c r="A40" s="7"/>
      <c r="B40" s="32">
        <v>10</v>
      </c>
      <c r="C40" s="35">
        <v>12527911.53722151</v>
      </c>
      <c r="D40" s="35">
        <v>3159937.04314576</v>
      </c>
      <c r="E40" s="35">
        <v>1585780.3778418589</v>
      </c>
      <c r="F40" s="35">
        <v>1971914.0414952501</v>
      </c>
      <c r="G40" s="35">
        <v>1787235.929414704</v>
      </c>
      <c r="H40" s="35">
        <v>143534.75960417281</v>
      </c>
      <c r="I40" s="35">
        <v>1099726.9842064059</v>
      </c>
      <c r="J40" s="35">
        <v>29458511.153593861</v>
      </c>
      <c r="K40" s="35">
        <v>8959310.996346971</v>
      </c>
      <c r="L40" s="35">
        <v>475783.95632459718</v>
      </c>
      <c r="M40" s="35">
        <v>793850.04910485062</v>
      </c>
      <c r="N40" s="35">
        <v>4324552.7114013638</v>
      </c>
      <c r="O40" s="35">
        <v>7228208.2152273739</v>
      </c>
      <c r="P40" s="35">
        <v>3312092.0086622881</v>
      </c>
      <c r="Q40" s="35">
        <v>18576598.845979448</v>
      </c>
      <c r="R40" s="35">
        <v>7623686.2738291891</v>
      </c>
      <c r="S40" s="35">
        <v>324835.81657972687</v>
      </c>
      <c r="T40" s="35">
        <v>668362.30738576851</v>
      </c>
      <c r="U40" s="35">
        <v>2616555.2356891232</v>
      </c>
      <c r="V40" s="35">
        <v>6263270.4298594398</v>
      </c>
      <c r="W40" s="35">
        <v>2055358.8382014481</v>
      </c>
      <c r="X40" s="35">
        <v>1591259.0511576959</v>
      </c>
      <c r="Y40" s="35">
        <v>2413467.5661940882</v>
      </c>
      <c r="Z40" s="7"/>
      <c r="AA40" s="7"/>
      <c r="AB40" s="7"/>
      <c r="AC40" s="7"/>
      <c r="AD40" s="7"/>
      <c r="AE40" s="7"/>
      <c r="AF40" s="7"/>
      <c r="AG40" s="7"/>
      <c r="AH40" s="7"/>
      <c r="AI40" s="7"/>
    </row>
    <row r="41" spans="1:35" ht="15" customHeight="1" x14ac:dyDescent="0.25">
      <c r="A41" s="7"/>
      <c r="B41" s="32">
        <v>20</v>
      </c>
      <c r="C41" s="35">
        <v>20762544.944878381</v>
      </c>
      <c r="D41" s="35">
        <v>6536780.3515046975</v>
      </c>
      <c r="E41" s="35">
        <v>2498789.9807739779</v>
      </c>
      <c r="F41" s="35">
        <v>2916129.9647017061</v>
      </c>
      <c r="G41" s="35">
        <v>3105708.0581876449</v>
      </c>
      <c r="H41" s="35">
        <v>339744.98863950343</v>
      </c>
      <c r="I41" s="35">
        <v>1894435.8114129349</v>
      </c>
      <c r="J41" s="35">
        <v>45356436.244869262</v>
      </c>
      <c r="K41" s="35">
        <v>13902073.997329419</v>
      </c>
      <c r="L41" s="35">
        <v>980640.25349006348</v>
      </c>
      <c r="M41" s="35">
        <v>1444705.5154049399</v>
      </c>
      <c r="N41" s="35">
        <v>6149778.2490801075</v>
      </c>
      <c r="O41" s="35">
        <v>11148194.672851879</v>
      </c>
      <c r="P41" s="35">
        <v>4659179.1861624261</v>
      </c>
      <c r="Q41" s="35">
        <v>35638189.557138138</v>
      </c>
      <c r="R41" s="35">
        <v>11459585.41935958</v>
      </c>
      <c r="S41" s="35">
        <v>800389.07551326079</v>
      </c>
      <c r="T41" s="35">
        <v>1190975.2865229801</v>
      </c>
      <c r="U41" s="35">
        <v>4543036.5348368809</v>
      </c>
      <c r="V41" s="35">
        <v>10173237.697105469</v>
      </c>
      <c r="W41" s="35">
        <v>3542933.6870594928</v>
      </c>
      <c r="X41" s="35">
        <v>3887395.392629792</v>
      </c>
      <c r="Y41" s="35">
        <v>4790783.19120197</v>
      </c>
      <c r="Z41" s="7"/>
      <c r="AA41" s="7"/>
      <c r="AB41" s="7"/>
      <c r="AC41" s="7"/>
      <c r="AD41" s="7"/>
      <c r="AE41" s="36"/>
      <c r="AF41" s="7"/>
      <c r="AG41" s="7"/>
      <c r="AH41" s="7"/>
      <c r="AI41" s="7"/>
    </row>
    <row r="42" spans="1:35" ht="15" customHeight="1" x14ac:dyDescent="0.25">
      <c r="A42" s="7"/>
      <c r="B42" s="32">
        <v>25</v>
      </c>
      <c r="C42" s="35">
        <v>23783055.94550436</v>
      </c>
      <c r="D42" s="35">
        <v>8128106.1314452412</v>
      </c>
      <c r="E42" s="35">
        <v>2886604.905290389</v>
      </c>
      <c r="F42" s="35">
        <v>3637800.4664546028</v>
      </c>
      <c r="G42" s="35">
        <v>3633545.9137286549</v>
      </c>
      <c r="H42" s="35">
        <v>420245.93511884479</v>
      </c>
      <c r="I42" s="35">
        <v>2210634.958934966</v>
      </c>
      <c r="J42" s="35">
        <v>51158370.623996459</v>
      </c>
      <c r="K42" s="35">
        <v>15896409.93114418</v>
      </c>
      <c r="L42" s="35">
        <v>1204559.376074471</v>
      </c>
      <c r="M42" s="35">
        <v>1710725.5128457509</v>
      </c>
      <c r="N42" s="35">
        <v>6904863.9277048539</v>
      </c>
      <c r="O42" s="35">
        <v>12421772.10857662</v>
      </c>
      <c r="P42" s="35">
        <v>5238674.4435225436</v>
      </c>
      <c r="Q42" s="35">
        <v>41380412.874545664</v>
      </c>
      <c r="R42" s="35">
        <v>12986717.901633531</v>
      </c>
      <c r="S42" s="35">
        <v>1027911.59289479</v>
      </c>
      <c r="T42" s="35">
        <v>1379687.704233204</v>
      </c>
      <c r="U42" s="35">
        <v>5358647.412285571</v>
      </c>
      <c r="V42" s="35">
        <v>11611469.639297141</v>
      </c>
      <c r="W42" s="35">
        <v>3963851.4806056549</v>
      </c>
      <c r="X42" s="35">
        <v>5347700.4404820837</v>
      </c>
      <c r="Y42" s="35">
        <v>5884976.0792380124</v>
      </c>
      <c r="Z42" s="7"/>
      <c r="AA42" s="7"/>
      <c r="AB42" s="7"/>
      <c r="AC42" s="7"/>
      <c r="AD42" s="7"/>
      <c r="AE42" s="7"/>
      <c r="AF42" s="7"/>
      <c r="AG42" s="7"/>
      <c r="AH42" s="7"/>
      <c r="AI42" s="7"/>
    </row>
    <row r="43" spans="1:35" ht="15" customHeight="1" x14ac:dyDescent="0.25">
      <c r="A43" s="7"/>
      <c r="B43" s="32">
        <v>50</v>
      </c>
      <c r="C43" s="35">
        <v>37880501.606531397</v>
      </c>
      <c r="D43" s="35">
        <v>14450235.95946401</v>
      </c>
      <c r="E43" s="35">
        <v>4631096.9120481908</v>
      </c>
      <c r="F43" s="35">
        <v>7088490.4405512521</v>
      </c>
      <c r="G43" s="35">
        <v>5474455.3827925706</v>
      </c>
      <c r="H43" s="35">
        <v>743765.29305968864</v>
      </c>
      <c r="I43" s="35">
        <v>3305719.4355958728</v>
      </c>
      <c r="J43" s="35">
        <v>77545867.276179552</v>
      </c>
      <c r="K43" s="35">
        <v>22021503.371664841</v>
      </c>
      <c r="L43" s="35">
        <v>2636710.6350736469</v>
      </c>
      <c r="M43" s="35">
        <v>2717299.7657993319</v>
      </c>
      <c r="N43" s="35">
        <v>10200550.882947071</v>
      </c>
      <c r="O43" s="35">
        <v>18716251.74021456</v>
      </c>
      <c r="P43" s="35">
        <v>7602237.082578944</v>
      </c>
      <c r="Q43" s="35">
        <v>70004426.371810108</v>
      </c>
      <c r="R43" s="35">
        <v>18162468.781502262</v>
      </c>
      <c r="S43" s="35">
        <v>2504026.5071789408</v>
      </c>
      <c r="T43" s="35">
        <v>2228636.9212309369</v>
      </c>
      <c r="U43" s="35">
        <v>8775545.7725581937</v>
      </c>
      <c r="V43" s="35">
        <v>17362755.987534761</v>
      </c>
      <c r="W43" s="35">
        <v>6514601.5392520782</v>
      </c>
      <c r="X43" s="35">
        <v>12480809.27819317</v>
      </c>
      <c r="Y43" s="35">
        <v>10721925.51317782</v>
      </c>
      <c r="Z43" s="7"/>
      <c r="AA43" s="7"/>
      <c r="AB43" s="7"/>
      <c r="AC43" s="7"/>
      <c r="AD43" s="7"/>
      <c r="AE43" s="36"/>
      <c r="AF43" s="7"/>
      <c r="AG43" s="7"/>
      <c r="AH43" s="7"/>
      <c r="AI43" s="7"/>
    </row>
    <row r="44" spans="1:35" ht="15" customHeight="1" x14ac:dyDescent="0.25">
      <c r="A44" s="7"/>
      <c r="B44" s="32">
        <v>100</v>
      </c>
      <c r="C44" s="35">
        <v>55451513.584886119</v>
      </c>
      <c r="D44" s="35">
        <v>23887263.46884371</v>
      </c>
      <c r="E44" s="35">
        <v>7104070.9097862877</v>
      </c>
      <c r="F44" s="35">
        <v>12235025.264284899</v>
      </c>
      <c r="G44" s="35">
        <v>8125089.0387661234</v>
      </c>
      <c r="H44" s="35">
        <v>1212849.302742685</v>
      </c>
      <c r="I44" s="35">
        <v>4821045.6972176582</v>
      </c>
      <c r="J44" s="35">
        <v>121559941.09588671</v>
      </c>
      <c r="K44" s="35">
        <v>28931725.91155909</v>
      </c>
      <c r="L44" s="35">
        <v>4945720.394164321</v>
      </c>
      <c r="M44" s="35">
        <v>4126827.6393642188</v>
      </c>
      <c r="N44" s="35">
        <v>13884558.82780201</v>
      </c>
      <c r="O44" s="35">
        <v>36135348.087133087</v>
      </c>
      <c r="P44" s="35">
        <v>10983810.99783989</v>
      </c>
      <c r="Q44" s="35">
        <v>115870074.95559441</v>
      </c>
      <c r="R44" s="35">
        <v>24768953.197015241</v>
      </c>
      <c r="S44" s="35">
        <v>4744042.0848945314</v>
      </c>
      <c r="T44" s="35">
        <v>3253574.6621668949</v>
      </c>
      <c r="U44" s="35">
        <v>12575386.85016063</v>
      </c>
      <c r="V44" s="35">
        <v>35304739.80447451</v>
      </c>
      <c r="W44" s="35">
        <v>9984295.3404400665</v>
      </c>
      <c r="X44" s="35">
        <v>27933820.123957809</v>
      </c>
      <c r="Y44" s="35">
        <v>19027468.226228911</v>
      </c>
      <c r="Z44" s="7"/>
      <c r="AA44" s="7"/>
      <c r="AB44" s="7"/>
      <c r="AC44" s="7"/>
      <c r="AD44" s="7"/>
      <c r="AE44" s="7"/>
      <c r="AF44" s="7"/>
      <c r="AG44" s="7"/>
      <c r="AH44" s="7"/>
      <c r="AI44" s="7"/>
    </row>
    <row r="45" spans="1:35" ht="15" customHeight="1" x14ac:dyDescent="0.25">
      <c r="A45" s="7"/>
      <c r="B45" s="32">
        <v>200</v>
      </c>
      <c r="C45" s="35">
        <v>73561332.322751924</v>
      </c>
      <c r="D45" s="35">
        <v>39299048.642876439</v>
      </c>
      <c r="E45" s="35">
        <v>9941559.3005216997</v>
      </c>
      <c r="F45" s="35">
        <v>17123588.948031671</v>
      </c>
      <c r="G45" s="35">
        <v>11324158.810594279</v>
      </c>
      <c r="H45" s="35">
        <v>1716107.1825748109</v>
      </c>
      <c r="I45" s="35">
        <v>6392653.2532795779</v>
      </c>
      <c r="J45" s="35">
        <v>161392886.8589288</v>
      </c>
      <c r="K45" s="35">
        <v>36298748.717495613</v>
      </c>
      <c r="L45" s="35">
        <v>9058247.3176506739</v>
      </c>
      <c r="M45" s="35">
        <v>5656824.4580469783</v>
      </c>
      <c r="N45" s="35">
        <v>18483906.46665132</v>
      </c>
      <c r="O45" s="35">
        <v>41350614.721862651</v>
      </c>
      <c r="P45" s="35">
        <v>14914307.857534399</v>
      </c>
      <c r="Q45" s="35">
        <v>155723337.0651646</v>
      </c>
      <c r="R45" s="35">
        <v>32790977.654970732</v>
      </c>
      <c r="S45" s="35">
        <v>8233537.9744530777</v>
      </c>
      <c r="T45" s="35">
        <v>4608371.2204010887</v>
      </c>
      <c r="U45" s="35">
        <v>17141086.704080239</v>
      </c>
      <c r="V45" s="35">
        <v>40511825.770864412</v>
      </c>
      <c r="W45" s="35">
        <v>14087450.338377699</v>
      </c>
      <c r="X45" s="35">
        <v>57108653.73318851</v>
      </c>
      <c r="Y45" s="35">
        <v>34063705.595881298</v>
      </c>
      <c r="Z45" s="7"/>
      <c r="AA45" s="7"/>
      <c r="AB45" s="7"/>
      <c r="AC45" s="7"/>
      <c r="AD45" s="7"/>
      <c r="AE45" s="36"/>
      <c r="AF45" s="7"/>
      <c r="AG45" s="7"/>
      <c r="AH45" s="7"/>
      <c r="AI45" s="7"/>
    </row>
    <row r="46" spans="1:35" ht="15" customHeight="1" x14ac:dyDescent="0.25">
      <c r="A46" s="7"/>
      <c r="B46" s="32">
        <v>250</v>
      </c>
      <c r="C46" s="35">
        <v>82056461.573821291</v>
      </c>
      <c r="D46" s="35">
        <v>44857527.127631657</v>
      </c>
      <c r="E46" s="35">
        <v>10632731.89858734</v>
      </c>
      <c r="F46" s="35">
        <v>17912735.745702472</v>
      </c>
      <c r="G46" s="35">
        <v>12197308.14971951</v>
      </c>
      <c r="H46" s="35">
        <v>1818532.620060209</v>
      </c>
      <c r="I46" s="35">
        <v>7076387.4321344709</v>
      </c>
      <c r="J46" s="35">
        <v>174759946.6604062</v>
      </c>
      <c r="K46" s="35">
        <v>40714256.356417961</v>
      </c>
      <c r="L46" s="35">
        <v>10921199.821887899</v>
      </c>
      <c r="M46" s="35">
        <v>6494136.2751914477</v>
      </c>
      <c r="N46" s="35">
        <v>19528037.156467389</v>
      </c>
      <c r="O46" s="35">
        <v>43673816.697393633</v>
      </c>
      <c r="P46" s="35">
        <v>16787597.409812842</v>
      </c>
      <c r="Q46" s="35">
        <v>169535278.79152921</v>
      </c>
      <c r="R46" s="35">
        <v>36895252.885156818</v>
      </c>
      <c r="S46" s="35">
        <v>9793443.2807933483</v>
      </c>
      <c r="T46" s="35">
        <v>5156723.431171665</v>
      </c>
      <c r="U46" s="35">
        <v>18511478.947390951</v>
      </c>
      <c r="V46" s="35">
        <v>42006135.923529387</v>
      </c>
      <c r="W46" s="35">
        <v>16221800.036990659</v>
      </c>
      <c r="X46" s="35">
        <v>64045809.033327334</v>
      </c>
      <c r="Y46" s="35">
        <v>38504657.704512171</v>
      </c>
      <c r="Z46" s="7"/>
      <c r="AA46" s="7"/>
      <c r="AB46" s="7"/>
      <c r="AC46" s="7"/>
      <c r="AD46" s="7"/>
      <c r="AE46" s="7"/>
      <c r="AF46" s="7"/>
      <c r="AG46" s="7"/>
      <c r="AH46" s="7"/>
      <c r="AI46" s="7"/>
    </row>
    <row r="47" spans="1:35" ht="15" customHeight="1" x14ac:dyDescent="0.25">
      <c r="A47" s="7"/>
      <c r="B47" s="32">
        <v>500</v>
      </c>
      <c r="C47" s="35">
        <v>117270471.0534512</v>
      </c>
      <c r="D47" s="35">
        <v>54724148.95924291</v>
      </c>
      <c r="E47" s="35">
        <v>14140367.11585189</v>
      </c>
      <c r="F47" s="35">
        <v>21517194.10614771</v>
      </c>
      <c r="G47" s="35">
        <v>15519790.84156788</v>
      </c>
      <c r="H47" s="35">
        <v>2259383.0892464332</v>
      </c>
      <c r="I47" s="35">
        <v>9358532.8698906731</v>
      </c>
      <c r="J47" s="35">
        <v>218824221.75584361</v>
      </c>
      <c r="K47" s="35">
        <v>52924392.36835669</v>
      </c>
      <c r="L47" s="35">
        <v>23514842.647245791</v>
      </c>
      <c r="M47" s="35">
        <v>8733379.8065004312</v>
      </c>
      <c r="N47" s="35">
        <v>23101272.4222483</v>
      </c>
      <c r="O47" s="35">
        <v>55918191.164889827</v>
      </c>
      <c r="P47" s="35">
        <v>19934216.559994441</v>
      </c>
      <c r="Q47" s="35">
        <v>216366207.49795449</v>
      </c>
      <c r="R47" s="35">
        <v>47450316.291648261</v>
      </c>
      <c r="S47" s="35">
        <v>17597266.296703391</v>
      </c>
      <c r="T47" s="35">
        <v>6441493.5126601569</v>
      </c>
      <c r="U47" s="35">
        <v>22212120.298295971</v>
      </c>
      <c r="V47" s="35">
        <v>53699768.65282701</v>
      </c>
      <c r="W47" s="35">
        <v>18879302.244568411</v>
      </c>
      <c r="X47" s="35">
        <v>115623746.0363093</v>
      </c>
      <c r="Y47" s="35">
        <v>66807358.733864643</v>
      </c>
      <c r="Z47" s="7"/>
      <c r="AA47" s="7"/>
      <c r="AB47" s="7"/>
      <c r="AC47" s="7"/>
      <c r="AD47" s="7"/>
      <c r="AE47" s="36"/>
      <c r="AF47" s="7"/>
      <c r="AG47" s="7"/>
      <c r="AH47" s="7"/>
      <c r="AI47" s="7"/>
    </row>
    <row r="48" spans="1:35" ht="15" customHeight="1" x14ac:dyDescent="0.25">
      <c r="B48" s="30">
        <v>1000</v>
      </c>
      <c r="C48" s="31">
        <v>143033995.86642471</v>
      </c>
      <c r="D48" s="31">
        <v>75195090.84068343</v>
      </c>
      <c r="E48" s="31">
        <v>19116160.577527002</v>
      </c>
      <c r="F48" s="31">
        <v>30543441.92022384</v>
      </c>
      <c r="G48" s="31">
        <v>18248732.46659312</v>
      </c>
      <c r="H48" s="31">
        <v>2748319.672084521</v>
      </c>
      <c r="I48" s="31">
        <v>11156991.715304499</v>
      </c>
      <c r="J48" s="31">
        <v>263465217.05484319</v>
      </c>
      <c r="K48" s="31">
        <v>74343584.149230778</v>
      </c>
      <c r="L48" s="31">
        <v>30027542.953708</v>
      </c>
      <c r="M48" s="31">
        <v>14310254.33073853</v>
      </c>
      <c r="N48" s="31">
        <v>29249750.898096561</v>
      </c>
      <c r="O48" s="31">
        <v>70012986.292992845</v>
      </c>
      <c r="P48" s="31">
        <v>24797048.880166791</v>
      </c>
      <c r="Q48" s="31">
        <v>260148946.45805001</v>
      </c>
      <c r="R48" s="31">
        <v>60268720.073389083</v>
      </c>
      <c r="S48" s="31">
        <v>28252519.360339779</v>
      </c>
      <c r="T48" s="31">
        <v>10456548.281693781</v>
      </c>
      <c r="U48" s="31">
        <v>27275755.376722801</v>
      </c>
      <c r="V48" s="31">
        <v>67969572.924762994</v>
      </c>
      <c r="W48" s="31">
        <v>23751070.18226371</v>
      </c>
      <c r="X48" s="31">
        <v>213111137.76702371</v>
      </c>
      <c r="Y48" s="31">
        <v>85349104.589554355</v>
      </c>
      <c r="AA48" s="7"/>
      <c r="AE48" s="37"/>
    </row>
    <row r="49" spans="2:25" ht="15" customHeight="1" x14ac:dyDescent="0.25">
      <c r="B49" s="38" t="s">
        <v>54</v>
      </c>
      <c r="C49" s="39">
        <v>5120275.8311637584</v>
      </c>
      <c r="D49" s="39">
        <v>1669679.640650514</v>
      </c>
      <c r="E49" s="39">
        <v>654079.44916573155</v>
      </c>
      <c r="F49" s="39">
        <v>712515.30909534858</v>
      </c>
      <c r="G49" s="39">
        <v>743101.84915229748</v>
      </c>
      <c r="H49" s="39">
        <v>73061.738917962299</v>
      </c>
      <c r="I49" s="39">
        <v>457335.93327870459</v>
      </c>
      <c r="J49" s="39">
        <v>12905150.487778589</v>
      </c>
      <c r="K49" s="39">
        <v>3645484.083188863</v>
      </c>
      <c r="L49" s="39">
        <v>317101.67235053692</v>
      </c>
      <c r="M49" s="39">
        <v>327824.27585450793</v>
      </c>
      <c r="N49" s="39">
        <v>1827909.7747829121</v>
      </c>
      <c r="O49" s="39">
        <v>3153934.4694910939</v>
      </c>
      <c r="P49" s="39">
        <v>1413267.9493712559</v>
      </c>
      <c r="Q49" s="39">
        <v>8527004.9732764196</v>
      </c>
      <c r="R49" s="39">
        <v>3142950.1007421138</v>
      </c>
      <c r="S49" s="39">
        <v>247981.92565784851</v>
      </c>
      <c r="T49" s="39">
        <v>271544.73694294808</v>
      </c>
      <c r="U49" s="39">
        <v>1070242.1185798489</v>
      </c>
      <c r="V49" s="39">
        <v>2452505.4826416732</v>
      </c>
      <c r="W49" s="39">
        <v>846938.53431942384</v>
      </c>
      <c r="X49" s="39">
        <v>1533277.23351542</v>
      </c>
      <c r="Y49" s="39">
        <v>1217427.5099367769</v>
      </c>
    </row>
    <row r="50" spans="2:25" ht="15" customHeight="1" x14ac:dyDescent="0.25">
      <c r="B50" s="38" t="s">
        <v>55</v>
      </c>
      <c r="C50" s="39">
        <v>12142067.2609699</v>
      </c>
      <c r="D50" s="39">
        <v>5328604.2965475619</v>
      </c>
      <c r="E50" s="39">
        <v>1510086.6777660691</v>
      </c>
      <c r="F50" s="39">
        <v>2334644.1236841339</v>
      </c>
      <c r="G50" s="39">
        <v>1693294.790130832</v>
      </c>
      <c r="H50" s="39">
        <v>230571.99776694839</v>
      </c>
      <c r="I50" s="39">
        <v>1011906.229597196</v>
      </c>
      <c r="J50" s="39">
        <v>23623319.781599659</v>
      </c>
      <c r="K50" s="39">
        <v>6689344.8457683688</v>
      </c>
      <c r="L50" s="39">
        <v>1661409.737734763</v>
      </c>
      <c r="M50" s="39">
        <v>1082210.8152000301</v>
      </c>
      <c r="N50" s="39">
        <v>2764829.5295637101</v>
      </c>
      <c r="O50" s="39">
        <v>6617820.3649932509</v>
      </c>
      <c r="P50" s="39">
        <v>2283564.8897050139</v>
      </c>
      <c r="Q50" s="39">
        <v>22026609.85397017</v>
      </c>
      <c r="R50" s="39">
        <v>5720005.4358092649</v>
      </c>
      <c r="S50" s="39">
        <v>1475454.62466516</v>
      </c>
      <c r="T50" s="39">
        <v>887339.69872496463</v>
      </c>
      <c r="U50" s="39">
        <v>2461626.522803145</v>
      </c>
      <c r="V50" s="39">
        <v>6476783.9328716351</v>
      </c>
      <c r="W50" s="39">
        <v>2069253.298214399</v>
      </c>
      <c r="X50" s="39">
        <v>11353386.228062309</v>
      </c>
      <c r="Y50" s="39">
        <v>5285210.4415587531</v>
      </c>
    </row>
    <row r="51" spans="2:25" ht="15" customHeight="1" x14ac:dyDescent="0.25"/>
    <row r="52" spans="2:25" ht="15" customHeight="1" x14ac:dyDescent="0.25">
      <c r="B52" s="40"/>
      <c r="C52" s="41"/>
      <c r="E52" s="42"/>
    </row>
    <row r="53" spans="2:25" ht="15" customHeight="1" x14ac:dyDescent="0.25"/>
    <row r="54" spans="2:25" ht="15" customHeight="1" x14ac:dyDescent="0.25">
      <c r="B54" s="43" t="s">
        <v>56</v>
      </c>
    </row>
    <row r="55" spans="2:25" ht="15" customHeight="1" x14ac:dyDescent="0.25">
      <c r="B55" s="5" t="s">
        <v>57</v>
      </c>
    </row>
    <row r="56" spans="2:25" ht="15" customHeight="1" x14ac:dyDescent="0.25">
      <c r="B56" s="5" t="s">
        <v>58</v>
      </c>
    </row>
  </sheetData>
  <pageMargins left="0.7" right="0.7" top="0.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C07E-E1A8-4C85-AF50-F00775354756}">
  <sheetPr>
    <pageSetUpPr fitToPage="1"/>
  </sheetPr>
  <dimension ref="A1:AC250"/>
  <sheetViews>
    <sheetView showGridLines="0" topLeftCell="B1" workbookViewId="0">
      <selection activeCell="F7" sqref="F7"/>
    </sheetView>
  </sheetViews>
  <sheetFormatPr defaultColWidth="12.7109375" defaultRowHeight="23.25" customHeight="1" x14ac:dyDescent="0.25"/>
  <cols>
    <col min="1" max="1" width="29.28515625" hidden="1" customWidth="1"/>
    <col min="2" max="2" width="37.28515625" bestFit="1" customWidth="1"/>
    <col min="3" max="3" width="16.7109375" customWidth="1"/>
    <col min="4" max="4" width="18.42578125" customWidth="1"/>
    <col min="5" max="5" width="16.5703125" bestFit="1" customWidth="1"/>
    <col min="6" max="7" width="18.85546875" bestFit="1" customWidth="1"/>
    <col min="8" max="8" width="19.85546875" bestFit="1" customWidth="1"/>
    <col min="9" max="18" width="18.85546875" bestFit="1" customWidth="1"/>
    <col min="19" max="19" width="19.85546875" bestFit="1" customWidth="1"/>
    <col min="20" max="29" width="18.85546875" bestFit="1" customWidth="1"/>
  </cols>
  <sheetData>
    <row r="1" spans="1:29" ht="23.25" customHeight="1" x14ac:dyDescent="0.25">
      <c r="A1" s="5" t="s">
        <v>4</v>
      </c>
      <c r="B1" s="8"/>
      <c r="C1" s="8"/>
      <c r="D1" s="8"/>
      <c r="E1" s="8"/>
      <c r="G1" s="8"/>
      <c r="H1" s="8"/>
      <c r="I1" s="8"/>
      <c r="J1" s="8"/>
    </row>
    <row r="2" spans="1:29" ht="23.25" customHeight="1" x14ac:dyDescent="0.25">
      <c r="A2" s="10" t="s">
        <v>0</v>
      </c>
    </row>
    <row r="3" spans="1:29" ht="23.25" customHeight="1" x14ac:dyDescent="0.25">
      <c r="A3" s="11" t="s">
        <v>5</v>
      </c>
      <c r="B3" s="9" t="s">
        <v>2</v>
      </c>
    </row>
    <row r="4" spans="1:29" ht="23.25" customHeight="1" x14ac:dyDescent="0.25">
      <c r="A4" s="12" t="s">
        <v>6</v>
      </c>
      <c r="B4" s="13" t="str">
        <f>IF($A2="", "", "Data as of " &amp; $A2)</f>
        <v>Data as of 31/05/2025</v>
      </c>
    </row>
    <row r="5" spans="1:29" ht="15" customHeight="1" x14ac:dyDescent="0.25"/>
    <row r="6" spans="1:29" ht="15" customHeight="1" x14ac:dyDescent="0.25"/>
    <row r="7" spans="1:29" ht="15" x14ac:dyDescent="0.25">
      <c r="B7" s="51" t="s">
        <v>68</v>
      </c>
      <c r="C7" s="52" t="s">
        <v>69</v>
      </c>
      <c r="D7" s="52" t="s">
        <v>70</v>
      </c>
      <c r="E7" s="52" t="s">
        <v>71</v>
      </c>
      <c r="F7" s="52" t="s">
        <v>72</v>
      </c>
      <c r="G7" s="52" t="s">
        <v>73</v>
      </c>
      <c r="H7" s="52" t="s">
        <v>74</v>
      </c>
      <c r="I7" s="52" t="s">
        <v>75</v>
      </c>
      <c r="J7" s="52" t="s">
        <v>76</v>
      </c>
      <c r="K7" s="52" t="s">
        <v>77</v>
      </c>
      <c r="L7" s="52" t="s">
        <v>78</v>
      </c>
      <c r="M7" s="52" t="s">
        <v>79</v>
      </c>
      <c r="N7" s="52" t="s">
        <v>80</v>
      </c>
      <c r="O7" s="52" t="s">
        <v>81</v>
      </c>
      <c r="P7" s="52" t="s">
        <v>82</v>
      </c>
      <c r="Q7" s="52" t="s">
        <v>83</v>
      </c>
      <c r="R7" s="52" t="s">
        <v>84</v>
      </c>
      <c r="S7" s="52" t="s">
        <v>85</v>
      </c>
      <c r="T7" s="52" t="s">
        <v>86</v>
      </c>
      <c r="U7" s="52" t="s">
        <v>87</v>
      </c>
      <c r="V7" s="52" t="s">
        <v>88</v>
      </c>
      <c r="W7" s="52" t="s">
        <v>89</v>
      </c>
      <c r="X7" s="52" t="s">
        <v>90</v>
      </c>
      <c r="Y7" s="52" t="s">
        <v>91</v>
      </c>
      <c r="Z7" s="52" t="s">
        <v>92</v>
      </c>
      <c r="AA7" s="52" t="s">
        <v>93</v>
      </c>
      <c r="AB7" s="53" t="s">
        <v>94</v>
      </c>
      <c r="AC7" s="51" t="s">
        <v>95</v>
      </c>
    </row>
    <row r="8" spans="1:29" ht="15" x14ac:dyDescent="0.25">
      <c r="B8" s="54" t="s">
        <v>96</v>
      </c>
      <c r="C8" s="54" t="s">
        <v>97</v>
      </c>
      <c r="D8" s="54" t="s">
        <v>98</v>
      </c>
      <c r="E8" s="54" t="s">
        <v>99</v>
      </c>
      <c r="F8" s="56">
        <v>188336.549522532</v>
      </c>
      <c r="G8" s="57">
        <v>778932.75743525894</v>
      </c>
      <c r="H8" s="56">
        <v>7191.6216467415697</v>
      </c>
      <c r="I8" s="56">
        <v>148255.45903697301</v>
      </c>
      <c r="J8" s="56">
        <v>419737.72652656201</v>
      </c>
      <c r="K8" s="56">
        <v>811996.403352455</v>
      </c>
      <c r="L8" s="56">
        <v>971275.35591286002</v>
      </c>
      <c r="M8" s="56">
        <v>1750471.72149922</v>
      </c>
      <c r="N8" s="56">
        <v>2909189.4666380798</v>
      </c>
      <c r="O8" s="57">
        <v>4415821.0666284598</v>
      </c>
      <c r="P8" s="56">
        <v>5626248.3780298298</v>
      </c>
      <c r="Q8" s="56">
        <v>9044953.3509708904</v>
      </c>
      <c r="R8" s="56">
        <v>12535222.3086641</v>
      </c>
      <c r="S8" s="56">
        <v>6091.6601252482196</v>
      </c>
      <c r="T8" s="56">
        <v>135068.186314046</v>
      </c>
      <c r="U8" s="56">
        <v>374875.33962504199</v>
      </c>
      <c r="V8" s="56">
        <v>751192.56458480295</v>
      </c>
      <c r="W8" s="56">
        <v>879721.01210119098</v>
      </c>
      <c r="X8" s="56">
        <v>1624383.51115368</v>
      </c>
      <c r="Y8" s="56">
        <v>2870904.0624888199</v>
      </c>
      <c r="Z8" s="56">
        <v>4333450.7856837297</v>
      </c>
      <c r="AA8" s="56">
        <v>5521869.1879805299</v>
      </c>
      <c r="AB8" s="56">
        <v>9044953.3509708904</v>
      </c>
      <c r="AC8" s="56">
        <v>12523385.7947366</v>
      </c>
    </row>
    <row r="9" spans="1:29" ht="15" x14ac:dyDescent="0.25">
      <c r="B9" s="55" t="s">
        <v>100</v>
      </c>
      <c r="C9" s="55" t="s">
        <v>97</v>
      </c>
      <c r="D9" s="55" t="s">
        <v>101</v>
      </c>
      <c r="E9" s="55" t="s">
        <v>99</v>
      </c>
      <c r="F9" s="58">
        <v>63661.390719474402</v>
      </c>
      <c r="G9" s="58">
        <v>1287846.1877192899</v>
      </c>
      <c r="H9" s="59">
        <v>0</v>
      </c>
      <c r="I9" s="58">
        <v>319.76491967891599</v>
      </c>
      <c r="J9" s="58">
        <v>2427.3837706005602</v>
      </c>
      <c r="K9" s="58">
        <v>27825.243161587801</v>
      </c>
      <c r="L9" s="58">
        <v>53884.586976809704</v>
      </c>
      <c r="M9" s="58">
        <v>217965.97601379099</v>
      </c>
      <c r="N9" s="59">
        <v>580046.04527395102</v>
      </c>
      <c r="O9" s="58">
        <v>1731697.99369445</v>
      </c>
      <c r="P9" s="58">
        <v>2352003.9602683601</v>
      </c>
      <c r="Q9" s="58">
        <v>5290724.6368552996</v>
      </c>
      <c r="R9" s="58">
        <v>11027628.9481005</v>
      </c>
      <c r="S9" s="59">
        <v>0</v>
      </c>
      <c r="T9" s="58">
        <v>318.98252661617801</v>
      </c>
      <c r="U9" s="58">
        <v>2312.1796799387898</v>
      </c>
      <c r="V9" s="58">
        <v>27132.389572710701</v>
      </c>
      <c r="W9" s="58">
        <v>53514.749797121898</v>
      </c>
      <c r="X9" s="58">
        <v>212688.353034247</v>
      </c>
      <c r="Y9" s="58">
        <v>571279.84271775</v>
      </c>
      <c r="Z9" s="58">
        <v>1701477.45306397</v>
      </c>
      <c r="AA9" s="58">
        <v>2293771.4194135298</v>
      </c>
      <c r="AB9" s="58">
        <v>5290724.6368552996</v>
      </c>
      <c r="AC9" s="58">
        <v>11027628.9481005</v>
      </c>
    </row>
    <row r="10" spans="1:29" ht="15" x14ac:dyDescent="0.25">
      <c r="B10" s="54" t="s">
        <v>102</v>
      </c>
      <c r="C10" s="54" t="s">
        <v>97</v>
      </c>
      <c r="D10" s="54" t="s">
        <v>103</v>
      </c>
      <c r="E10" s="54" t="s">
        <v>99</v>
      </c>
      <c r="F10" s="56">
        <v>50662.586156128003</v>
      </c>
      <c r="G10" s="56">
        <v>666703.835595096</v>
      </c>
      <c r="H10" s="57">
        <v>0</v>
      </c>
      <c r="I10" s="56">
        <v>2414.2026807248599</v>
      </c>
      <c r="J10" s="56">
        <v>20778.304837258202</v>
      </c>
      <c r="K10" s="57">
        <v>81094.556611027598</v>
      </c>
      <c r="L10" s="56">
        <v>116044.370549008</v>
      </c>
      <c r="M10" s="56">
        <v>379024.45854996698</v>
      </c>
      <c r="N10" s="56">
        <v>1064783.10309551</v>
      </c>
      <c r="O10" s="56">
        <v>2003318.2004790099</v>
      </c>
      <c r="P10" s="56">
        <v>2492457.88222415</v>
      </c>
      <c r="Q10" s="56">
        <v>4290991.1227439102</v>
      </c>
      <c r="R10" s="56">
        <v>7164410.2623165101</v>
      </c>
      <c r="S10" s="57">
        <v>0</v>
      </c>
      <c r="T10" s="56">
        <v>2318.1451140518998</v>
      </c>
      <c r="U10" s="56">
        <v>19660.082850689701</v>
      </c>
      <c r="V10" s="56">
        <v>77904.517940460006</v>
      </c>
      <c r="W10" s="56">
        <v>111259.710966435</v>
      </c>
      <c r="X10" s="56">
        <v>376030.61465811502</v>
      </c>
      <c r="Y10" s="56">
        <v>1062724.3026385701</v>
      </c>
      <c r="Z10" s="56">
        <v>1908763.2788662901</v>
      </c>
      <c r="AA10" s="56">
        <v>2351889.5696454402</v>
      </c>
      <c r="AB10" s="56">
        <v>4133522.3644358101</v>
      </c>
      <c r="AC10" s="56">
        <v>7164410.2623165101</v>
      </c>
    </row>
    <row r="11" spans="1:29" ht="15" x14ac:dyDescent="0.25">
      <c r="B11" s="55" t="s">
        <v>104</v>
      </c>
      <c r="C11" s="55" t="s">
        <v>97</v>
      </c>
      <c r="D11" s="55" t="s">
        <v>105</v>
      </c>
      <c r="E11" s="55" t="s">
        <v>99</v>
      </c>
      <c r="F11" s="58">
        <v>504.04435211524299</v>
      </c>
      <c r="G11" s="58">
        <v>7526.7794046684303</v>
      </c>
      <c r="H11" s="59">
        <v>0</v>
      </c>
      <c r="I11" s="59">
        <v>0</v>
      </c>
      <c r="J11" s="59">
        <v>0</v>
      </c>
      <c r="K11" s="59">
        <v>0</v>
      </c>
      <c r="L11" s="59">
        <v>0</v>
      </c>
      <c r="M11" s="58">
        <v>156.46192613054399</v>
      </c>
      <c r="N11" s="58">
        <v>6894.2137583384401</v>
      </c>
      <c r="O11" s="58">
        <v>22100.014818293799</v>
      </c>
      <c r="P11" s="58">
        <v>27990.0742456138</v>
      </c>
      <c r="Q11" s="58">
        <v>64361.449294623002</v>
      </c>
      <c r="R11" s="59">
        <v>136849.397857837</v>
      </c>
      <c r="S11" s="59">
        <v>0</v>
      </c>
      <c r="T11" s="59">
        <v>0</v>
      </c>
      <c r="U11" s="59">
        <v>0</v>
      </c>
      <c r="V11" s="59">
        <v>0</v>
      </c>
      <c r="W11" s="59">
        <v>0</v>
      </c>
      <c r="X11" s="58">
        <v>156.46192613054399</v>
      </c>
      <c r="Y11" s="58">
        <v>6894.2137583384401</v>
      </c>
      <c r="Z11" s="58">
        <v>22100.014818293799</v>
      </c>
      <c r="AA11" s="58">
        <v>27990.0742456138</v>
      </c>
      <c r="AB11" s="58">
        <v>64361.449294623002</v>
      </c>
      <c r="AC11" s="59">
        <v>136849.397857837</v>
      </c>
    </row>
    <row r="12" spans="1:29" ht="15" x14ac:dyDescent="0.25">
      <c r="B12" s="54" t="s">
        <v>106</v>
      </c>
      <c r="C12" s="54" t="s">
        <v>97</v>
      </c>
      <c r="D12" s="54" t="s">
        <v>107</v>
      </c>
      <c r="E12" s="54" t="s">
        <v>99</v>
      </c>
      <c r="F12" s="56">
        <v>127698.562148507</v>
      </c>
      <c r="G12" s="56">
        <v>1652671.13005317</v>
      </c>
      <c r="H12" s="57">
        <v>0</v>
      </c>
      <c r="I12" s="56">
        <v>20865.684690825299</v>
      </c>
      <c r="J12" s="56">
        <v>108271.306093664</v>
      </c>
      <c r="K12" s="56">
        <v>297508.64327873901</v>
      </c>
      <c r="L12" s="56">
        <v>388300.16612996103</v>
      </c>
      <c r="M12" s="56">
        <v>894738.31027333299</v>
      </c>
      <c r="N12" s="56">
        <v>1765684.2943946801</v>
      </c>
      <c r="O12" s="56">
        <v>3713727.5478763999</v>
      </c>
      <c r="P12" s="56">
        <v>5301682.3316383604</v>
      </c>
      <c r="Q12" s="56">
        <v>9686927.2310482003</v>
      </c>
      <c r="R12" s="56">
        <v>16640605.219262701</v>
      </c>
      <c r="S12" s="57">
        <v>0</v>
      </c>
      <c r="T12" s="56">
        <v>20362.202938260401</v>
      </c>
      <c r="U12" s="56">
        <v>102840.72463731399</v>
      </c>
      <c r="V12" s="56">
        <v>282215.43287161097</v>
      </c>
      <c r="W12" s="56">
        <v>374163.795509558</v>
      </c>
      <c r="X12" s="56">
        <v>858670.37394287798</v>
      </c>
      <c r="Y12" s="56">
        <v>1744812.73074496</v>
      </c>
      <c r="Z12" s="56">
        <v>3713727.5478763999</v>
      </c>
      <c r="AA12" s="56">
        <v>4850880.1733702105</v>
      </c>
      <c r="AB12" s="56">
        <v>9686927.2310482003</v>
      </c>
      <c r="AC12" s="56">
        <v>16534273.0176859</v>
      </c>
    </row>
    <row r="13" spans="1:29" ht="15" x14ac:dyDescent="0.25">
      <c r="B13" s="55" t="s">
        <v>108</v>
      </c>
      <c r="C13" s="55" t="s">
        <v>97</v>
      </c>
      <c r="D13" s="55" t="s">
        <v>109</v>
      </c>
      <c r="E13" s="55" t="s">
        <v>99</v>
      </c>
      <c r="F13" s="58">
        <v>1842.40573866921</v>
      </c>
      <c r="G13" s="58">
        <v>26472.154471206701</v>
      </c>
      <c r="H13" s="59">
        <v>0</v>
      </c>
      <c r="I13" s="59">
        <v>0</v>
      </c>
      <c r="J13" s="58">
        <v>1762.7123656354299</v>
      </c>
      <c r="K13" s="58">
        <v>6521.8750043804002</v>
      </c>
      <c r="L13" s="58">
        <v>7892.7213829815701</v>
      </c>
      <c r="M13" s="58">
        <v>16064.947660375101</v>
      </c>
      <c r="N13" s="58">
        <v>29011.5807191151</v>
      </c>
      <c r="O13" s="58">
        <v>62704.111588437598</v>
      </c>
      <c r="P13" s="58">
        <v>76950.966890532596</v>
      </c>
      <c r="Q13" s="58">
        <v>127578.64128125001</v>
      </c>
      <c r="R13" s="58">
        <v>187376.36058293199</v>
      </c>
      <c r="S13" s="59">
        <v>0</v>
      </c>
      <c r="T13" s="59">
        <v>0</v>
      </c>
      <c r="U13" s="58">
        <v>1753.0111350248301</v>
      </c>
      <c r="V13" s="58">
        <v>6170.5885372677303</v>
      </c>
      <c r="W13" s="58">
        <v>7708.8552849030402</v>
      </c>
      <c r="X13" s="58">
        <v>15309.463166016199</v>
      </c>
      <c r="Y13" s="58">
        <v>28682.001595806199</v>
      </c>
      <c r="Z13" s="58">
        <v>62704.111588437598</v>
      </c>
      <c r="AA13" s="58">
        <v>74484.374304703597</v>
      </c>
      <c r="AB13" s="58">
        <v>127578.64128125001</v>
      </c>
      <c r="AC13" s="58">
        <v>181302.91149885501</v>
      </c>
    </row>
    <row r="14" spans="1:29" ht="15" x14ac:dyDescent="0.25">
      <c r="B14" s="54" t="s">
        <v>110</v>
      </c>
      <c r="C14" s="54" t="s">
        <v>97</v>
      </c>
      <c r="D14" s="54" t="s">
        <v>111</v>
      </c>
      <c r="E14" s="54" t="s">
        <v>99</v>
      </c>
      <c r="F14" s="56">
        <v>15389.9735178271</v>
      </c>
      <c r="G14" s="56">
        <v>268581.01335819397</v>
      </c>
      <c r="H14" s="57">
        <v>0</v>
      </c>
      <c r="I14" s="57">
        <v>0</v>
      </c>
      <c r="J14" s="57">
        <v>0</v>
      </c>
      <c r="K14" s="56">
        <v>1017.1865360617001</v>
      </c>
      <c r="L14" s="56">
        <v>4007.5474860695399</v>
      </c>
      <c r="M14" s="56">
        <v>90747.833842396605</v>
      </c>
      <c r="N14" s="56">
        <v>239731.32162745201</v>
      </c>
      <c r="O14" s="56">
        <v>621961.41178059997</v>
      </c>
      <c r="P14" s="56">
        <v>749566.54044971999</v>
      </c>
      <c r="Q14" s="56">
        <v>1212077.4207345201</v>
      </c>
      <c r="R14" s="56">
        <v>2584947.8635408101</v>
      </c>
      <c r="S14" s="57">
        <v>0</v>
      </c>
      <c r="T14" s="57">
        <v>0</v>
      </c>
      <c r="U14" s="57">
        <v>0</v>
      </c>
      <c r="V14" s="56">
        <v>1009.3448822852801</v>
      </c>
      <c r="W14" s="56">
        <v>3841.4894875438199</v>
      </c>
      <c r="X14" s="56">
        <v>90747.833842396605</v>
      </c>
      <c r="Y14" s="56">
        <v>235999.85255842499</v>
      </c>
      <c r="Z14" s="56">
        <v>621961.41178059997</v>
      </c>
      <c r="AA14" s="56">
        <v>749566.54044971999</v>
      </c>
      <c r="AB14" s="56">
        <v>1212077.4207345201</v>
      </c>
      <c r="AC14" s="56">
        <v>2584947.8635408101</v>
      </c>
    </row>
    <row r="15" spans="1:29" ht="15" x14ac:dyDescent="0.25">
      <c r="B15" s="55" t="s">
        <v>112</v>
      </c>
      <c r="C15" s="55" t="s">
        <v>97</v>
      </c>
      <c r="D15" s="55" t="s">
        <v>113</v>
      </c>
      <c r="E15" s="55" t="s">
        <v>99</v>
      </c>
      <c r="F15" s="58">
        <v>68089.338548956293</v>
      </c>
      <c r="G15" s="58">
        <v>1461175.7444873201</v>
      </c>
      <c r="H15" s="59">
        <v>0</v>
      </c>
      <c r="I15" s="59">
        <v>0</v>
      </c>
      <c r="J15" s="58">
        <v>114.669830841764</v>
      </c>
      <c r="K15" s="58">
        <v>3069.8973275890198</v>
      </c>
      <c r="L15" s="58">
        <v>5820.7605633624798</v>
      </c>
      <c r="M15" s="58">
        <v>42343.9871798124</v>
      </c>
      <c r="N15" s="58">
        <v>276130.83841714601</v>
      </c>
      <c r="O15" s="58">
        <v>1604010.54815423</v>
      </c>
      <c r="P15" s="58">
        <v>2406473.6275662198</v>
      </c>
      <c r="Q15" s="58">
        <v>6384408.7537830202</v>
      </c>
      <c r="R15" s="58">
        <v>21796701.800226402</v>
      </c>
      <c r="S15" s="59">
        <v>0</v>
      </c>
      <c r="T15" s="59">
        <v>0</v>
      </c>
      <c r="U15" s="58">
        <v>114.669830841764</v>
      </c>
      <c r="V15" s="58">
        <v>3066.1200258075401</v>
      </c>
      <c r="W15" s="58">
        <v>5618.6329142369204</v>
      </c>
      <c r="X15" s="58">
        <v>42343.9871798124</v>
      </c>
      <c r="Y15" s="58">
        <v>276130.83841714601</v>
      </c>
      <c r="Z15" s="58">
        <v>1604010.54815423</v>
      </c>
      <c r="AA15" s="58">
        <v>2406473.6275662198</v>
      </c>
      <c r="AB15" s="58">
        <v>6384408.7537830202</v>
      </c>
      <c r="AC15" s="58">
        <v>21796701.800226402</v>
      </c>
    </row>
    <row r="16" spans="1:29" ht="15" x14ac:dyDescent="0.25">
      <c r="B16" s="54" t="s">
        <v>114</v>
      </c>
      <c r="C16" s="54" t="s">
        <v>97</v>
      </c>
      <c r="D16" s="54" t="s">
        <v>115</v>
      </c>
      <c r="E16" s="54" t="s">
        <v>99</v>
      </c>
      <c r="F16" s="56">
        <v>200.407389711544</v>
      </c>
      <c r="G16" s="56">
        <v>2933.3600164325599</v>
      </c>
      <c r="H16" s="57">
        <v>0</v>
      </c>
      <c r="I16" s="57">
        <v>0</v>
      </c>
      <c r="J16" s="57">
        <v>0</v>
      </c>
      <c r="K16" s="57">
        <v>0</v>
      </c>
      <c r="L16" s="57">
        <v>0</v>
      </c>
      <c r="M16" s="56">
        <v>672.64623787385597</v>
      </c>
      <c r="N16" s="56">
        <v>4105.19157421197</v>
      </c>
      <c r="O16" s="57">
        <v>9028.2426447154903</v>
      </c>
      <c r="P16" s="56">
        <v>10581.129533334401</v>
      </c>
      <c r="Q16" s="56">
        <v>21660.296303897099</v>
      </c>
      <c r="R16" s="56">
        <v>44032.4672344793</v>
      </c>
      <c r="S16" s="57">
        <v>0</v>
      </c>
      <c r="T16" s="57">
        <v>0</v>
      </c>
      <c r="U16" s="57">
        <v>0</v>
      </c>
      <c r="V16" s="57">
        <v>0</v>
      </c>
      <c r="W16" s="57">
        <v>0</v>
      </c>
      <c r="X16" s="56">
        <v>668.42645835437997</v>
      </c>
      <c r="Y16" s="56">
        <v>4026.2657834621</v>
      </c>
      <c r="Z16" s="56">
        <v>8760.3742104027806</v>
      </c>
      <c r="AA16" s="56">
        <v>10581.129533334401</v>
      </c>
      <c r="AB16" s="56">
        <v>21660.296303897099</v>
      </c>
      <c r="AC16" s="56">
        <v>32745.8559230787</v>
      </c>
    </row>
    <row r="17" spans="2:29" ht="15" x14ac:dyDescent="0.25">
      <c r="B17" s="55" t="s">
        <v>116</v>
      </c>
      <c r="C17" s="55" t="s">
        <v>97</v>
      </c>
      <c r="D17" s="55" t="s">
        <v>117</v>
      </c>
      <c r="E17" s="55" t="s">
        <v>99</v>
      </c>
      <c r="F17" s="58">
        <v>9563.6180621311796</v>
      </c>
      <c r="G17" s="58">
        <v>124571.807975627</v>
      </c>
      <c r="H17" s="59">
        <v>0</v>
      </c>
      <c r="I17" s="59">
        <v>0</v>
      </c>
      <c r="J17" s="59">
        <v>0</v>
      </c>
      <c r="K17" s="58">
        <v>12944.812351499801</v>
      </c>
      <c r="L17" s="58">
        <v>26346.051655129999</v>
      </c>
      <c r="M17" s="58">
        <v>79222.374158134306</v>
      </c>
      <c r="N17" s="58">
        <v>198361.973469775</v>
      </c>
      <c r="O17" s="58">
        <v>410720.66064068</v>
      </c>
      <c r="P17" s="58">
        <v>494447.97393433802</v>
      </c>
      <c r="Q17" s="58">
        <v>893880.35553616402</v>
      </c>
      <c r="R17" s="58">
        <v>1586385.80577021</v>
      </c>
      <c r="S17" s="59">
        <v>0</v>
      </c>
      <c r="T17" s="59">
        <v>0</v>
      </c>
      <c r="U17" s="59">
        <v>0</v>
      </c>
      <c r="V17" s="58">
        <v>12944.812351499801</v>
      </c>
      <c r="W17" s="58">
        <v>26262.495095946</v>
      </c>
      <c r="X17" s="58">
        <v>79222.374158134306</v>
      </c>
      <c r="Y17" s="58">
        <v>198361.973469775</v>
      </c>
      <c r="Z17" s="58">
        <v>410720.66064068</v>
      </c>
      <c r="AA17" s="58">
        <v>494447.97393433802</v>
      </c>
      <c r="AB17" s="58">
        <v>893880.35553616402</v>
      </c>
      <c r="AC17" s="58">
        <v>1586385.80577021</v>
      </c>
    </row>
    <row r="18" spans="2:29" ht="15" x14ac:dyDescent="0.25">
      <c r="B18" s="54" t="s">
        <v>118</v>
      </c>
      <c r="C18" s="54" t="s">
        <v>97</v>
      </c>
      <c r="D18" s="54" t="s">
        <v>119</v>
      </c>
      <c r="E18" s="54" t="s">
        <v>99</v>
      </c>
      <c r="F18" s="56">
        <v>3315.8152896050201</v>
      </c>
      <c r="G18" s="56">
        <v>45032.393860649798</v>
      </c>
      <c r="H18" s="57">
        <v>0</v>
      </c>
      <c r="I18" s="57">
        <v>0</v>
      </c>
      <c r="J18" s="57">
        <v>0</v>
      </c>
      <c r="K18" s="56">
        <v>290.25668385076102</v>
      </c>
      <c r="L18" s="56">
        <v>1503.2840785065</v>
      </c>
      <c r="M18" s="56">
        <v>28284.8713585693</v>
      </c>
      <c r="N18" s="56">
        <v>74395.756310786703</v>
      </c>
      <c r="O18" s="56">
        <v>144252.918263033</v>
      </c>
      <c r="P18" s="56">
        <v>188231.56049976501</v>
      </c>
      <c r="Q18" s="56">
        <v>356797.689716872</v>
      </c>
      <c r="R18" s="56">
        <v>489591.24606971699</v>
      </c>
      <c r="S18" s="57">
        <v>0</v>
      </c>
      <c r="T18" s="57">
        <v>0</v>
      </c>
      <c r="U18" s="57">
        <v>0</v>
      </c>
      <c r="V18" s="56">
        <v>290.25668385076102</v>
      </c>
      <c r="W18" s="56">
        <v>1503.2840785065</v>
      </c>
      <c r="X18" s="56">
        <v>28284.8713585693</v>
      </c>
      <c r="Y18" s="56">
        <v>74395.756310786703</v>
      </c>
      <c r="Z18" s="56">
        <v>144252.918263033</v>
      </c>
      <c r="AA18" s="56">
        <v>187371.885433257</v>
      </c>
      <c r="AB18" s="56">
        <v>356797.689716872</v>
      </c>
      <c r="AC18" s="56">
        <v>489591.24606971699</v>
      </c>
    </row>
    <row r="19" spans="2:29" ht="15" x14ac:dyDescent="0.25">
      <c r="B19" s="55" t="s">
        <v>120</v>
      </c>
      <c r="C19" s="55" t="s">
        <v>97</v>
      </c>
      <c r="D19" s="55" t="s">
        <v>121</v>
      </c>
      <c r="E19" s="55" t="s">
        <v>99</v>
      </c>
      <c r="F19" s="58">
        <v>323.94450598906201</v>
      </c>
      <c r="G19" s="58">
        <v>5984.1072689213797</v>
      </c>
      <c r="H19" s="59">
        <v>0</v>
      </c>
      <c r="I19" s="59">
        <v>0</v>
      </c>
      <c r="J19" s="59">
        <v>0</v>
      </c>
      <c r="K19" s="59">
        <v>0</v>
      </c>
      <c r="L19" s="59">
        <v>0</v>
      </c>
      <c r="M19" s="59">
        <v>0</v>
      </c>
      <c r="N19" s="58">
        <v>3939.8717272213398</v>
      </c>
      <c r="O19" s="58">
        <v>11828.216272879499</v>
      </c>
      <c r="P19" s="58">
        <v>17018.591040563799</v>
      </c>
      <c r="Q19" s="58">
        <v>28381.9582490414</v>
      </c>
      <c r="R19" s="58">
        <v>99634.418551625495</v>
      </c>
      <c r="S19" s="59">
        <v>0</v>
      </c>
      <c r="T19" s="59">
        <v>0</v>
      </c>
      <c r="U19" s="59">
        <v>0</v>
      </c>
      <c r="V19" s="59">
        <v>0</v>
      </c>
      <c r="W19" s="59">
        <v>0</v>
      </c>
      <c r="X19" s="59">
        <v>0</v>
      </c>
      <c r="Y19" s="58">
        <v>3939.8717272213398</v>
      </c>
      <c r="Z19" s="58">
        <v>11828.216272879499</v>
      </c>
      <c r="AA19" s="58">
        <v>17018.591040563799</v>
      </c>
      <c r="AB19" s="58">
        <v>28381.9582490414</v>
      </c>
      <c r="AC19" s="58">
        <v>99634.418551625495</v>
      </c>
    </row>
    <row r="20" spans="2:29" ht="15" x14ac:dyDescent="0.25">
      <c r="B20" s="54" t="s">
        <v>122</v>
      </c>
      <c r="C20" s="54" t="s">
        <v>97</v>
      </c>
      <c r="D20" s="54" t="s">
        <v>123</v>
      </c>
      <c r="E20" s="54" t="s">
        <v>99</v>
      </c>
      <c r="F20" s="56">
        <v>26654.1801273565</v>
      </c>
      <c r="G20" s="56">
        <v>308918.40060266299</v>
      </c>
      <c r="H20" s="57">
        <v>0</v>
      </c>
      <c r="I20" s="57">
        <v>0</v>
      </c>
      <c r="J20" s="57">
        <v>0</v>
      </c>
      <c r="K20" s="56">
        <v>10799.557919577899</v>
      </c>
      <c r="L20" s="56">
        <v>37565.826528849102</v>
      </c>
      <c r="M20" s="56">
        <v>255840.533188492</v>
      </c>
      <c r="N20" s="56">
        <v>610008.26549154799</v>
      </c>
      <c r="O20" s="56">
        <v>1086625.4555391199</v>
      </c>
      <c r="P20" s="56">
        <v>1351906.87255257</v>
      </c>
      <c r="Q20" s="56">
        <v>2522288.98964553</v>
      </c>
      <c r="R20" s="56">
        <v>5244114.3538981704</v>
      </c>
      <c r="S20" s="57">
        <v>0</v>
      </c>
      <c r="T20" s="57">
        <v>0</v>
      </c>
      <c r="U20" s="57">
        <v>0</v>
      </c>
      <c r="V20" s="56">
        <v>10799.557919577899</v>
      </c>
      <c r="W20" s="56">
        <v>37539.523664789704</v>
      </c>
      <c r="X20" s="57">
        <v>254473.676464063</v>
      </c>
      <c r="Y20" s="56">
        <v>610008.26549154799</v>
      </c>
      <c r="Z20" s="56">
        <v>1081910.33244973</v>
      </c>
      <c r="AA20" s="56">
        <v>1283497.61880713</v>
      </c>
      <c r="AB20" s="56">
        <v>2522288.98964553</v>
      </c>
      <c r="AC20" s="56">
        <v>5244114.3538981704</v>
      </c>
    </row>
    <row r="21" spans="2:29" ht="15" x14ac:dyDescent="0.25">
      <c r="B21" s="55" t="s">
        <v>124</v>
      </c>
      <c r="C21" s="55" t="s">
        <v>97</v>
      </c>
      <c r="D21" s="55" t="s">
        <v>125</v>
      </c>
      <c r="E21" s="55" t="s">
        <v>99</v>
      </c>
      <c r="F21" s="58">
        <v>1960.6302624346399</v>
      </c>
      <c r="G21" s="58">
        <v>28537.798456142998</v>
      </c>
      <c r="H21" s="59">
        <v>0</v>
      </c>
      <c r="I21" s="59">
        <v>0</v>
      </c>
      <c r="J21" s="59">
        <v>0</v>
      </c>
      <c r="K21" s="59">
        <v>0</v>
      </c>
      <c r="L21" s="59">
        <v>0</v>
      </c>
      <c r="M21" s="58">
        <v>3096.7441797428501</v>
      </c>
      <c r="N21" s="58">
        <v>16236.952231265001</v>
      </c>
      <c r="O21" s="58">
        <v>129946.70630636399</v>
      </c>
      <c r="P21" s="58">
        <v>147578.63694381501</v>
      </c>
      <c r="Q21" s="58">
        <v>261535.16009632</v>
      </c>
      <c r="R21" s="58">
        <v>467927.37141513301</v>
      </c>
      <c r="S21" s="59">
        <v>0</v>
      </c>
      <c r="T21" s="59">
        <v>0</v>
      </c>
      <c r="U21" s="59">
        <v>0</v>
      </c>
      <c r="V21" s="59">
        <v>0</v>
      </c>
      <c r="W21" s="59">
        <v>0</v>
      </c>
      <c r="X21" s="58">
        <v>3073.7051145648702</v>
      </c>
      <c r="Y21" s="58">
        <v>16236.952231265001</v>
      </c>
      <c r="Z21" s="58">
        <v>127448.892818558</v>
      </c>
      <c r="AA21" s="58">
        <v>146671.660233548</v>
      </c>
      <c r="AB21" s="58">
        <v>259346.36171921101</v>
      </c>
      <c r="AC21" s="58">
        <v>467927.37141513301</v>
      </c>
    </row>
    <row r="22" spans="2:29" ht="15" x14ac:dyDescent="0.25">
      <c r="B22" s="54" t="s">
        <v>126</v>
      </c>
      <c r="C22" s="54" t="s">
        <v>97</v>
      </c>
      <c r="D22" s="54" t="s">
        <v>127</v>
      </c>
      <c r="E22" s="54" t="s">
        <v>99</v>
      </c>
      <c r="F22" s="56">
        <v>655915.20246226504</v>
      </c>
      <c r="G22" s="56">
        <v>2994695.22466094</v>
      </c>
      <c r="H22" s="56">
        <v>29500.768184754499</v>
      </c>
      <c r="I22" s="56">
        <v>516824.40895322303</v>
      </c>
      <c r="J22" s="56">
        <v>1426098.4511501601</v>
      </c>
      <c r="K22" s="57">
        <v>2751560.5653194902</v>
      </c>
      <c r="L22" s="56">
        <v>3353657.8027729099</v>
      </c>
      <c r="M22" s="56">
        <v>5779888.9892505603</v>
      </c>
      <c r="N22" s="56">
        <v>9809750.8815179393</v>
      </c>
      <c r="O22" s="56">
        <v>15373955.511978</v>
      </c>
      <c r="P22" s="56">
        <v>16829600.318379499</v>
      </c>
      <c r="Q22" s="56">
        <v>26612383.101806499</v>
      </c>
      <c r="R22" s="56">
        <v>50482750.951913498</v>
      </c>
      <c r="S22" s="56">
        <v>26105.163609302501</v>
      </c>
      <c r="T22" s="56">
        <v>455137.85997767397</v>
      </c>
      <c r="U22" s="56">
        <v>1268779.0063445901</v>
      </c>
      <c r="V22" s="56">
        <v>2539814.7762390701</v>
      </c>
      <c r="W22" s="56">
        <v>3067185.31351336</v>
      </c>
      <c r="X22" s="56">
        <v>5393072.4696589597</v>
      </c>
      <c r="Y22" s="57">
        <v>9358204.9029856306</v>
      </c>
      <c r="Z22" s="56">
        <v>14835860.6534801</v>
      </c>
      <c r="AA22" s="56">
        <v>16776391.088790501</v>
      </c>
      <c r="AB22" s="56">
        <v>25992125.308880001</v>
      </c>
      <c r="AC22" s="56">
        <v>50327773.221264802</v>
      </c>
    </row>
    <row r="23" spans="2:29" ht="15" x14ac:dyDescent="0.25">
      <c r="B23" s="55" t="s">
        <v>128</v>
      </c>
      <c r="C23" s="55" t="s">
        <v>97</v>
      </c>
      <c r="D23" s="55" t="s">
        <v>129</v>
      </c>
      <c r="E23" s="55" t="s">
        <v>99</v>
      </c>
      <c r="F23" s="58">
        <v>3308.8611330733302</v>
      </c>
      <c r="G23" s="58">
        <v>61685.9442358741</v>
      </c>
      <c r="H23" s="59">
        <v>0</v>
      </c>
      <c r="I23" s="59">
        <v>0</v>
      </c>
      <c r="J23" s="59">
        <v>0</v>
      </c>
      <c r="K23" s="59">
        <v>0</v>
      </c>
      <c r="L23" s="59">
        <v>0</v>
      </c>
      <c r="M23" s="59">
        <v>0</v>
      </c>
      <c r="N23" s="58">
        <v>41201.3283487796</v>
      </c>
      <c r="O23" s="58">
        <v>116306.542031502</v>
      </c>
      <c r="P23" s="58">
        <v>167375.52939792199</v>
      </c>
      <c r="Q23" s="58">
        <v>297546.550908693</v>
      </c>
      <c r="R23" s="58">
        <v>988006.46533979196</v>
      </c>
      <c r="S23" s="59">
        <v>0</v>
      </c>
      <c r="T23" s="59">
        <v>0</v>
      </c>
      <c r="U23" s="59">
        <v>0</v>
      </c>
      <c r="V23" s="59">
        <v>0</v>
      </c>
      <c r="W23" s="59">
        <v>0</v>
      </c>
      <c r="X23" s="59">
        <v>0</v>
      </c>
      <c r="Y23" s="58">
        <v>41201.3283487796</v>
      </c>
      <c r="Z23" s="58">
        <v>116306.542031502</v>
      </c>
      <c r="AA23" s="58">
        <v>167375.52939792199</v>
      </c>
      <c r="AB23" s="58">
        <v>297546.550908693</v>
      </c>
      <c r="AC23" s="58">
        <v>988006.46533979196</v>
      </c>
    </row>
    <row r="24" spans="2:29" ht="15" x14ac:dyDescent="0.25">
      <c r="B24" s="54" t="s">
        <v>130</v>
      </c>
      <c r="C24" s="54" t="s">
        <v>131</v>
      </c>
      <c r="D24" s="54" t="s">
        <v>98</v>
      </c>
      <c r="E24" s="54" t="s">
        <v>99</v>
      </c>
      <c r="F24" s="56">
        <v>312942.88897331298</v>
      </c>
      <c r="G24" s="56">
        <v>985267.20781960897</v>
      </c>
      <c r="H24" s="56">
        <v>13905.7912922586</v>
      </c>
      <c r="I24" s="56">
        <v>73351.868734439806</v>
      </c>
      <c r="J24" s="56">
        <v>1661029.8348853199</v>
      </c>
      <c r="K24" s="56">
        <v>2008346.7088561701</v>
      </c>
      <c r="L24" s="56">
        <v>2125992.1191599802</v>
      </c>
      <c r="M24" s="56">
        <v>3378337.2566033299</v>
      </c>
      <c r="N24" s="56">
        <v>4766912.7902510902</v>
      </c>
      <c r="O24" s="56">
        <v>6567823.9313371098</v>
      </c>
      <c r="P24" s="56">
        <v>7321145.2646384398</v>
      </c>
      <c r="Q24" s="56">
        <v>8551457.8712622095</v>
      </c>
      <c r="R24" s="57">
        <v>9644640.2341278791</v>
      </c>
      <c r="S24" s="56">
        <v>10884.678806374999</v>
      </c>
      <c r="T24" s="56">
        <v>50892.9704983267</v>
      </c>
      <c r="U24" s="56">
        <v>1634224.2667221699</v>
      </c>
      <c r="V24" s="56">
        <v>1946905.46392751</v>
      </c>
      <c r="W24" s="56">
        <v>2016743.0567393</v>
      </c>
      <c r="X24" s="56">
        <v>2381683.8929789802</v>
      </c>
      <c r="Y24" s="56">
        <v>3745606.84678949</v>
      </c>
      <c r="Z24" s="56">
        <v>5501330.3118754597</v>
      </c>
      <c r="AA24" s="56">
        <v>5780626.2576803602</v>
      </c>
      <c r="AB24" s="56">
        <v>7481693.4856515601</v>
      </c>
      <c r="AC24" s="56">
        <v>7772426.9242267003</v>
      </c>
    </row>
    <row r="25" spans="2:29" ht="15" x14ac:dyDescent="0.25">
      <c r="B25" s="55" t="s">
        <v>132</v>
      </c>
      <c r="C25" s="55" t="s">
        <v>131</v>
      </c>
      <c r="D25" s="55" t="s">
        <v>101</v>
      </c>
      <c r="E25" s="55" t="s">
        <v>99</v>
      </c>
      <c r="F25" s="58">
        <v>4037.7411647527201</v>
      </c>
      <c r="G25" s="58">
        <v>14648.749863917201</v>
      </c>
      <c r="H25" s="58">
        <v>13.0770384449349</v>
      </c>
      <c r="I25" s="58">
        <v>3778.5132890244199</v>
      </c>
      <c r="J25" s="58">
        <v>11871.4475717265</v>
      </c>
      <c r="K25" s="58">
        <v>22370.5392631668</v>
      </c>
      <c r="L25" s="58">
        <v>26435.763259871299</v>
      </c>
      <c r="M25" s="58">
        <v>38464.397394289503</v>
      </c>
      <c r="N25" s="58">
        <v>54613.259616890602</v>
      </c>
      <c r="O25" s="58">
        <v>77319.101747497596</v>
      </c>
      <c r="P25" s="59">
        <v>83285.752903083107</v>
      </c>
      <c r="Q25" s="58">
        <v>113848.72306945499</v>
      </c>
      <c r="R25" s="58">
        <v>148340.80882042099</v>
      </c>
      <c r="S25" s="58">
        <v>12.838542940022499</v>
      </c>
      <c r="T25" s="58">
        <v>3727.7707384120499</v>
      </c>
      <c r="U25" s="58">
        <v>11053.697464443299</v>
      </c>
      <c r="V25" s="58">
        <v>20525.431634986999</v>
      </c>
      <c r="W25" s="58">
        <v>23900.901368804101</v>
      </c>
      <c r="X25" s="58">
        <v>35722.043789005198</v>
      </c>
      <c r="Y25" s="58">
        <v>51896.143617739799</v>
      </c>
      <c r="Z25" s="59">
        <v>72728.371519827502</v>
      </c>
      <c r="AA25" s="58">
        <v>79760.004054755394</v>
      </c>
      <c r="AB25" s="58">
        <v>110790.616099605</v>
      </c>
      <c r="AC25" s="58">
        <v>148321.899033594</v>
      </c>
    </row>
    <row r="26" spans="2:29" ht="15" x14ac:dyDescent="0.25">
      <c r="B26" s="54" t="s">
        <v>133</v>
      </c>
      <c r="C26" s="54" t="s">
        <v>131</v>
      </c>
      <c r="D26" s="54" t="s">
        <v>103</v>
      </c>
      <c r="E26" s="54" t="s">
        <v>99</v>
      </c>
      <c r="F26" s="56">
        <v>135025.98649101201</v>
      </c>
      <c r="G26" s="56">
        <v>395023.21492786898</v>
      </c>
      <c r="H26" s="56">
        <v>38749.594612501802</v>
      </c>
      <c r="I26" s="56">
        <v>124424.643679277</v>
      </c>
      <c r="J26" s="56">
        <v>249341.84252209301</v>
      </c>
      <c r="K26" s="56">
        <v>514062.099861186</v>
      </c>
      <c r="L26" s="56">
        <v>654671.45220733294</v>
      </c>
      <c r="M26" s="56">
        <v>1209945.7481966701</v>
      </c>
      <c r="N26" s="56">
        <v>1944586.9317388299</v>
      </c>
      <c r="O26" s="56">
        <v>2846020.4712199201</v>
      </c>
      <c r="P26" s="56">
        <v>3112511.83467281</v>
      </c>
      <c r="Q26" s="56">
        <v>4319760.4449763997</v>
      </c>
      <c r="R26" s="56">
        <v>5046801.5588441603</v>
      </c>
      <c r="S26" s="56">
        <v>22737.087232954898</v>
      </c>
      <c r="T26" s="56">
        <v>78722.822816959</v>
      </c>
      <c r="U26" s="56">
        <v>180819.407677927</v>
      </c>
      <c r="V26" s="56">
        <v>407333.60459978197</v>
      </c>
      <c r="W26" s="56">
        <v>538090.40314879396</v>
      </c>
      <c r="X26" s="56">
        <v>1074966.9620656101</v>
      </c>
      <c r="Y26" s="56">
        <v>1721402.35019349</v>
      </c>
      <c r="Z26" s="56">
        <v>2458279.5666334801</v>
      </c>
      <c r="AA26" s="56">
        <v>2571357.7973105102</v>
      </c>
      <c r="AB26" s="56">
        <v>3784646.8517109901</v>
      </c>
      <c r="AC26" s="56">
        <v>4976730.2705864096</v>
      </c>
    </row>
    <row r="27" spans="2:29" ht="15" x14ac:dyDescent="0.25">
      <c r="B27" s="55" t="s">
        <v>134</v>
      </c>
      <c r="C27" s="55" t="s">
        <v>131</v>
      </c>
      <c r="D27" s="55" t="s">
        <v>105</v>
      </c>
      <c r="E27" s="55" t="s">
        <v>99</v>
      </c>
      <c r="F27" s="58">
        <v>2.84291808362154</v>
      </c>
      <c r="G27" s="58">
        <v>47.214234629180297</v>
      </c>
      <c r="H27" s="59">
        <v>0</v>
      </c>
      <c r="I27" s="58">
        <v>1.7393945132691899</v>
      </c>
      <c r="J27" s="58">
        <v>3.40791657542258</v>
      </c>
      <c r="K27" s="58">
        <v>7.1669943890809096</v>
      </c>
      <c r="L27" s="58">
        <v>8.5317041423534494</v>
      </c>
      <c r="M27" s="58">
        <v>11.9253712595729</v>
      </c>
      <c r="N27" s="58">
        <v>15.627921523303</v>
      </c>
      <c r="O27" s="58">
        <v>22.045470602914801</v>
      </c>
      <c r="P27" s="58">
        <v>25.763325406116401</v>
      </c>
      <c r="Q27" s="58">
        <v>548.54029287931701</v>
      </c>
      <c r="R27" s="58">
        <v>607.27390473705304</v>
      </c>
      <c r="S27" s="59">
        <v>0</v>
      </c>
      <c r="T27" s="58">
        <v>1.73087775067931</v>
      </c>
      <c r="U27" s="58">
        <v>2.8019880664973198</v>
      </c>
      <c r="V27" s="58">
        <v>6.7061423292672098</v>
      </c>
      <c r="W27" s="58">
        <v>7.7900693759752899</v>
      </c>
      <c r="X27" s="58">
        <v>11.2678181969252</v>
      </c>
      <c r="Y27" s="58">
        <v>14.734899093973899</v>
      </c>
      <c r="Z27" s="58">
        <v>19.254966666053701</v>
      </c>
      <c r="AA27" s="58">
        <v>23.161426009038401</v>
      </c>
      <c r="AB27" s="58">
        <v>548.54029287931701</v>
      </c>
      <c r="AC27" s="58">
        <v>597.48148094797205</v>
      </c>
    </row>
    <row r="28" spans="2:29" ht="15" x14ac:dyDescent="0.25">
      <c r="B28" s="54" t="s">
        <v>135</v>
      </c>
      <c r="C28" s="54" t="s">
        <v>131</v>
      </c>
      <c r="D28" s="54" t="s">
        <v>107</v>
      </c>
      <c r="E28" s="54" t="s">
        <v>99</v>
      </c>
      <c r="F28" s="56">
        <v>226.76210164339699</v>
      </c>
      <c r="G28" s="56">
        <v>537.610450996542</v>
      </c>
      <c r="H28" s="57">
        <v>0</v>
      </c>
      <c r="I28" s="56">
        <v>331.03023284018298</v>
      </c>
      <c r="J28" s="56">
        <v>659.25321421622505</v>
      </c>
      <c r="K28" s="56">
        <v>1051.7880014280699</v>
      </c>
      <c r="L28" s="56">
        <v>1182.8739087249701</v>
      </c>
      <c r="M28" s="56">
        <v>1639.1367388583401</v>
      </c>
      <c r="N28" s="56">
        <v>2141.3353481883701</v>
      </c>
      <c r="O28" s="56">
        <v>2875.9468714715999</v>
      </c>
      <c r="P28" s="56">
        <v>3129.63523783253</v>
      </c>
      <c r="Q28" s="56">
        <v>4264.3194568498402</v>
      </c>
      <c r="R28" s="56">
        <v>5378.073992613</v>
      </c>
      <c r="S28" s="57">
        <v>0</v>
      </c>
      <c r="T28" s="56">
        <v>241.433873844587</v>
      </c>
      <c r="U28" s="57">
        <v>527.412800796037</v>
      </c>
      <c r="V28" s="56">
        <v>845.58446629937396</v>
      </c>
      <c r="W28" s="56">
        <v>956.21281823033098</v>
      </c>
      <c r="X28" s="56">
        <v>1349.58050436756</v>
      </c>
      <c r="Y28" s="56">
        <v>1873.0491047031901</v>
      </c>
      <c r="Z28" s="56">
        <v>2558.5406063619698</v>
      </c>
      <c r="AA28" s="56">
        <v>2806.39625634617</v>
      </c>
      <c r="AB28" s="56">
        <v>3929.55722350522</v>
      </c>
      <c r="AC28" s="56">
        <v>5153.7106020892697</v>
      </c>
    </row>
    <row r="29" spans="2:29" ht="15" x14ac:dyDescent="0.25">
      <c r="B29" s="55" t="s">
        <v>136</v>
      </c>
      <c r="C29" s="55" t="s">
        <v>131</v>
      </c>
      <c r="D29" s="55" t="s">
        <v>111</v>
      </c>
      <c r="E29" s="55" t="s">
        <v>99</v>
      </c>
      <c r="F29" s="58">
        <v>1740.64545047043</v>
      </c>
      <c r="G29" s="58">
        <v>10759.8627906211</v>
      </c>
      <c r="H29" s="58">
        <v>22.561511629804201</v>
      </c>
      <c r="I29" s="58">
        <v>1628.6347410101</v>
      </c>
      <c r="J29" s="58">
        <v>3556.7307352174298</v>
      </c>
      <c r="K29" s="58">
        <v>7538.1930931719598</v>
      </c>
      <c r="L29" s="58">
        <v>8972.8821997870691</v>
      </c>
      <c r="M29" s="58">
        <v>13397.115704276001</v>
      </c>
      <c r="N29" s="58">
        <v>18802.606447918999</v>
      </c>
      <c r="O29" s="58">
        <v>25888.0756107261</v>
      </c>
      <c r="P29" s="58">
        <v>29288.797856928399</v>
      </c>
      <c r="Q29" s="58">
        <v>78123.7260995494</v>
      </c>
      <c r="R29" s="58">
        <v>200305.32563047</v>
      </c>
      <c r="S29" s="58">
        <v>20.390077035267101</v>
      </c>
      <c r="T29" s="58">
        <v>1555.0262863238299</v>
      </c>
      <c r="U29" s="58">
        <v>2736.1885592160402</v>
      </c>
      <c r="V29" s="58">
        <v>6249.4083558897601</v>
      </c>
      <c r="W29" s="58">
        <v>7917.2649686876903</v>
      </c>
      <c r="X29" s="58">
        <v>10910.855316847301</v>
      </c>
      <c r="Y29" s="58">
        <v>14951.444895644599</v>
      </c>
      <c r="Z29" s="58">
        <v>20986.742916728599</v>
      </c>
      <c r="AA29" s="58">
        <v>23416.999407933101</v>
      </c>
      <c r="AB29" s="58">
        <v>78062.744307576795</v>
      </c>
      <c r="AC29" s="58">
        <v>193713.45514787501</v>
      </c>
    </row>
    <row r="30" spans="2:29" ht="15" x14ac:dyDescent="0.25">
      <c r="B30" s="54" t="s">
        <v>137</v>
      </c>
      <c r="C30" s="54" t="s">
        <v>131</v>
      </c>
      <c r="D30" s="54" t="s">
        <v>115</v>
      </c>
      <c r="E30" s="54" t="s">
        <v>99</v>
      </c>
      <c r="F30" s="57">
        <v>0.23131887128842299</v>
      </c>
      <c r="G30" s="56">
        <v>0.75133854330750405</v>
      </c>
      <c r="H30" s="57">
        <v>0</v>
      </c>
      <c r="I30" s="57">
        <v>0</v>
      </c>
      <c r="J30" s="56">
        <v>1.07741965054281</v>
      </c>
      <c r="K30" s="56">
        <v>1.2357590751587899</v>
      </c>
      <c r="L30" s="56">
        <v>1.3569228379309399</v>
      </c>
      <c r="M30" s="56">
        <v>2.5811756927787899</v>
      </c>
      <c r="N30" s="56">
        <v>3.6585166240579099</v>
      </c>
      <c r="O30" s="56">
        <v>4.4882237173705803</v>
      </c>
      <c r="P30" s="57">
        <v>4.82535194874486</v>
      </c>
      <c r="Q30" s="56">
        <v>6.4331364640602597</v>
      </c>
      <c r="R30" s="56">
        <v>7.6255793647913501</v>
      </c>
      <c r="S30" s="57">
        <v>0</v>
      </c>
      <c r="T30" s="57">
        <v>0</v>
      </c>
      <c r="U30" s="56">
        <v>1.07215991456341</v>
      </c>
      <c r="V30" s="56">
        <v>1.21417391659841</v>
      </c>
      <c r="W30" s="56">
        <v>1.24737058722067</v>
      </c>
      <c r="X30" s="56">
        <v>2.38529514621955</v>
      </c>
      <c r="Y30" s="56">
        <v>3.4626361129313699</v>
      </c>
      <c r="Z30" s="56">
        <v>4.2752956555286197</v>
      </c>
      <c r="AA30" s="56">
        <v>4.4882237173705803</v>
      </c>
      <c r="AB30" s="56">
        <v>6.1444869179514399</v>
      </c>
      <c r="AC30" s="57">
        <v>7.4307014245588796</v>
      </c>
    </row>
    <row r="31" spans="2:29" ht="15" x14ac:dyDescent="0.25">
      <c r="B31" s="55" t="s">
        <v>138</v>
      </c>
      <c r="C31" s="55" t="s">
        <v>131</v>
      </c>
      <c r="D31" s="55" t="s">
        <v>117</v>
      </c>
      <c r="E31" s="55" t="s">
        <v>99</v>
      </c>
      <c r="F31" s="58">
        <v>2355.0538080012202</v>
      </c>
      <c r="G31" s="58">
        <v>5483.2190961154101</v>
      </c>
      <c r="H31" s="59">
        <v>0</v>
      </c>
      <c r="I31" s="58">
        <v>4341.0372603583201</v>
      </c>
      <c r="J31" s="58">
        <v>7276.05901457452</v>
      </c>
      <c r="K31" s="58">
        <v>13159.986105223399</v>
      </c>
      <c r="L31" s="58">
        <v>15012.8403156188</v>
      </c>
      <c r="M31" s="58">
        <v>19644.6242359319</v>
      </c>
      <c r="N31" s="59">
        <v>26700.080324824899</v>
      </c>
      <c r="O31" s="58">
        <v>33851.325663703399</v>
      </c>
      <c r="P31" s="58">
        <v>36013.767073976996</v>
      </c>
      <c r="Q31" s="58">
        <v>43308.3875075092</v>
      </c>
      <c r="R31" s="58">
        <v>50285.580890796002</v>
      </c>
      <c r="S31" s="59">
        <v>0</v>
      </c>
      <c r="T31" s="58">
        <v>4114.3721573665498</v>
      </c>
      <c r="U31" s="58">
        <v>5754.5277379991303</v>
      </c>
      <c r="V31" s="58">
        <v>10263.440996392899</v>
      </c>
      <c r="W31" s="58">
        <v>11749.398804111301</v>
      </c>
      <c r="X31" s="58">
        <v>16163.275004957301</v>
      </c>
      <c r="Y31" s="58">
        <v>19896.699028285799</v>
      </c>
      <c r="Z31" s="58">
        <v>24500.836621856</v>
      </c>
      <c r="AA31" s="58">
        <v>26657.1652784535</v>
      </c>
      <c r="AB31" s="58">
        <v>30716.452149745801</v>
      </c>
      <c r="AC31" s="58">
        <v>36375.0859748031</v>
      </c>
    </row>
    <row r="32" spans="2:29" ht="15" x14ac:dyDescent="0.25">
      <c r="B32" s="54" t="s">
        <v>139</v>
      </c>
      <c r="C32" s="54" t="s">
        <v>131</v>
      </c>
      <c r="D32" s="54" t="s">
        <v>119</v>
      </c>
      <c r="E32" s="54" t="s">
        <v>99</v>
      </c>
      <c r="F32" s="56">
        <v>4854.7168526505702</v>
      </c>
      <c r="G32" s="56">
        <v>11199.0993644561</v>
      </c>
      <c r="H32" s="57">
        <v>0</v>
      </c>
      <c r="I32" s="56">
        <v>14251.266476577701</v>
      </c>
      <c r="J32" s="56">
        <v>15797.8166550357</v>
      </c>
      <c r="K32" s="56">
        <v>28916.431073278902</v>
      </c>
      <c r="L32" s="56">
        <v>30607.656267017901</v>
      </c>
      <c r="M32" s="56">
        <v>42176.434666106397</v>
      </c>
      <c r="N32" s="56">
        <v>51962.775556381901</v>
      </c>
      <c r="O32" s="56">
        <v>61295.892029643903</v>
      </c>
      <c r="P32" s="56">
        <v>65806.501290889704</v>
      </c>
      <c r="Q32" s="56">
        <v>76020.7582362924</v>
      </c>
      <c r="R32" s="57">
        <v>94588.550750685099</v>
      </c>
      <c r="S32" s="57">
        <v>0</v>
      </c>
      <c r="T32" s="56">
        <v>14251.266476577701</v>
      </c>
      <c r="U32" s="56">
        <v>14858.536441570999</v>
      </c>
      <c r="V32" s="56">
        <v>21305.917748811</v>
      </c>
      <c r="W32" s="57">
        <v>24709.753321119999</v>
      </c>
      <c r="X32" s="56">
        <v>37532.910619861701</v>
      </c>
      <c r="Y32" s="56">
        <v>42533.628823085201</v>
      </c>
      <c r="Z32" s="56">
        <v>47288.9161303207</v>
      </c>
      <c r="AA32" s="56">
        <v>49355.934113810203</v>
      </c>
      <c r="AB32" s="56">
        <v>55369.072308426701</v>
      </c>
      <c r="AC32" s="56">
        <v>59220.833347205902</v>
      </c>
    </row>
    <row r="33" spans="2:29" ht="15" x14ac:dyDescent="0.25">
      <c r="B33" s="55" t="s">
        <v>140</v>
      </c>
      <c r="C33" s="55" t="s">
        <v>131</v>
      </c>
      <c r="D33" s="55" t="s">
        <v>121</v>
      </c>
      <c r="E33" s="55" t="s">
        <v>99</v>
      </c>
      <c r="F33" s="59">
        <v>2.27647357159305E-2</v>
      </c>
      <c r="G33" s="58">
        <v>0.74974481072449495</v>
      </c>
      <c r="H33" s="59">
        <v>0</v>
      </c>
      <c r="I33" s="59">
        <v>0</v>
      </c>
      <c r="J33" s="59">
        <v>0</v>
      </c>
      <c r="K33" s="59">
        <v>0</v>
      </c>
      <c r="L33" s="59">
        <v>0</v>
      </c>
      <c r="M33" s="59">
        <v>0</v>
      </c>
      <c r="N33" s="59">
        <v>0</v>
      </c>
      <c r="O33" s="59">
        <v>0</v>
      </c>
      <c r="P33" s="59">
        <v>0</v>
      </c>
      <c r="Q33" s="59">
        <v>0</v>
      </c>
      <c r="R33" s="58">
        <v>17.289863614038399</v>
      </c>
      <c r="S33" s="59">
        <v>0</v>
      </c>
      <c r="T33" s="59">
        <v>0</v>
      </c>
      <c r="U33" s="59">
        <v>0</v>
      </c>
      <c r="V33" s="59">
        <v>0</v>
      </c>
      <c r="W33" s="59">
        <v>0</v>
      </c>
      <c r="X33" s="59">
        <v>0</v>
      </c>
      <c r="Y33" s="59">
        <v>0</v>
      </c>
      <c r="Z33" s="59">
        <v>0</v>
      </c>
      <c r="AA33" s="59">
        <v>0</v>
      </c>
      <c r="AB33" s="59">
        <v>0</v>
      </c>
      <c r="AC33" s="58">
        <v>17.289863614038399</v>
      </c>
    </row>
    <row r="34" spans="2:29" ht="15" x14ac:dyDescent="0.25">
      <c r="B34" s="54" t="s">
        <v>141</v>
      </c>
      <c r="C34" s="54" t="s">
        <v>131</v>
      </c>
      <c r="D34" s="54" t="s">
        <v>123</v>
      </c>
      <c r="E34" s="54" t="s">
        <v>99</v>
      </c>
      <c r="F34" s="56">
        <v>21370.043214617101</v>
      </c>
      <c r="G34" s="56">
        <v>130581.31771743399</v>
      </c>
      <c r="H34" s="57">
        <v>0</v>
      </c>
      <c r="I34" s="56">
        <v>10612.417934171899</v>
      </c>
      <c r="J34" s="56">
        <v>22225.643342138399</v>
      </c>
      <c r="K34" s="56">
        <v>39949.855636841901</v>
      </c>
      <c r="L34" s="56">
        <v>45999.220693529998</v>
      </c>
      <c r="M34" s="56">
        <v>104174.794018203</v>
      </c>
      <c r="N34" s="56">
        <v>885550.50541836396</v>
      </c>
      <c r="O34" s="56">
        <v>947954.72731970204</v>
      </c>
      <c r="P34" s="56">
        <v>980759.52746437502</v>
      </c>
      <c r="Q34" s="56">
        <v>1200086.7831792601</v>
      </c>
      <c r="R34" s="56">
        <v>1863751.91704263</v>
      </c>
      <c r="S34" s="57">
        <v>0</v>
      </c>
      <c r="T34" s="56">
        <v>8922.7057744383801</v>
      </c>
      <c r="U34" s="56">
        <v>17258.558073878601</v>
      </c>
      <c r="V34" s="56">
        <v>29608.0638306783</v>
      </c>
      <c r="W34" s="56">
        <v>35655.131142610298</v>
      </c>
      <c r="X34" s="57">
        <v>61352.629635477002</v>
      </c>
      <c r="Y34" s="56">
        <v>873554.50706590596</v>
      </c>
      <c r="Z34" s="57">
        <v>919094.04266811605</v>
      </c>
      <c r="AA34" s="56">
        <v>950099.47289819503</v>
      </c>
      <c r="AB34" s="56">
        <v>1082053.7733787</v>
      </c>
      <c r="AC34" s="56">
        <v>1810359.5707266401</v>
      </c>
    </row>
    <row r="35" spans="2:29" ht="15" x14ac:dyDescent="0.25">
      <c r="B35" s="55" t="s">
        <v>142</v>
      </c>
      <c r="C35" s="55" t="s">
        <v>131</v>
      </c>
      <c r="D35" s="55" t="s">
        <v>125</v>
      </c>
      <c r="E35" s="55" t="s">
        <v>99</v>
      </c>
      <c r="F35" s="58">
        <v>14.6775851224787</v>
      </c>
      <c r="G35" s="58">
        <v>77.206840097080899</v>
      </c>
      <c r="H35" s="59">
        <v>0</v>
      </c>
      <c r="I35" s="59">
        <v>0</v>
      </c>
      <c r="J35" s="59">
        <v>0</v>
      </c>
      <c r="K35" s="58">
        <v>145.057631817497</v>
      </c>
      <c r="L35" s="58">
        <v>175.99195844155801</v>
      </c>
      <c r="M35" s="58">
        <v>257.37178741467301</v>
      </c>
      <c r="N35" s="59">
        <v>348.079728234909</v>
      </c>
      <c r="O35" s="58">
        <v>487.70898942817598</v>
      </c>
      <c r="P35" s="58">
        <v>532.11153047607695</v>
      </c>
      <c r="Q35" s="59">
        <v>663.717571399902</v>
      </c>
      <c r="R35" s="58">
        <v>913.84440895355397</v>
      </c>
      <c r="S35" s="59">
        <v>0</v>
      </c>
      <c r="T35" s="59">
        <v>0</v>
      </c>
      <c r="U35" s="59">
        <v>0</v>
      </c>
      <c r="V35" s="58">
        <v>145.057631817497</v>
      </c>
      <c r="W35" s="58">
        <v>175.99195844155801</v>
      </c>
      <c r="X35" s="58">
        <v>249.177536058203</v>
      </c>
      <c r="Y35" s="58">
        <v>318.30993260411299</v>
      </c>
      <c r="Z35" s="59">
        <v>421.886892131732</v>
      </c>
      <c r="AA35" s="58">
        <v>458.58690635836501</v>
      </c>
      <c r="AB35" s="58">
        <v>617.57670138098104</v>
      </c>
      <c r="AC35" s="58">
        <v>740.04590126660196</v>
      </c>
    </row>
    <row r="36" spans="2:29" ht="15" x14ac:dyDescent="0.25">
      <c r="B36" s="54" t="s">
        <v>143</v>
      </c>
      <c r="C36" s="54" t="s">
        <v>131</v>
      </c>
      <c r="D36" s="54" t="s">
        <v>127</v>
      </c>
      <c r="E36" s="54" t="s">
        <v>99</v>
      </c>
      <c r="F36" s="56">
        <v>229940.34578929099</v>
      </c>
      <c r="G36" s="56">
        <v>1431300.0012376499</v>
      </c>
      <c r="H36" s="56">
        <v>15844.4947450336</v>
      </c>
      <c r="I36" s="56">
        <v>82321.944383118302</v>
      </c>
      <c r="J36" s="56">
        <v>179679.77276231599</v>
      </c>
      <c r="K36" s="56">
        <v>362074.05957196199</v>
      </c>
      <c r="L36" s="56">
        <v>476863.89002931799</v>
      </c>
      <c r="M36" s="56">
        <v>2318596.6361602098</v>
      </c>
      <c r="N36" s="57">
        <v>6305702.0103361802</v>
      </c>
      <c r="O36" s="56">
        <v>12761312.564743901</v>
      </c>
      <c r="P36" s="56">
        <v>13245573.272593601</v>
      </c>
      <c r="Q36" s="56">
        <v>14795836.648957301</v>
      </c>
      <c r="R36" s="56">
        <v>19851016.833732799</v>
      </c>
      <c r="S36" s="56">
        <v>11062.9307455617</v>
      </c>
      <c r="T36" s="56">
        <v>61621.715898508599</v>
      </c>
      <c r="U36" s="56">
        <v>124611.211911452</v>
      </c>
      <c r="V36" s="56">
        <v>286473.81210512598</v>
      </c>
      <c r="W36" s="56">
        <v>378187.109617915</v>
      </c>
      <c r="X36" s="56">
        <v>2223136.1761426399</v>
      </c>
      <c r="Y36" s="56">
        <v>6214480.62509658</v>
      </c>
      <c r="Z36" s="56">
        <v>12595722.763549799</v>
      </c>
      <c r="AA36" s="56">
        <v>12999782.013213299</v>
      </c>
      <c r="AB36" s="56">
        <v>14572628.705551101</v>
      </c>
      <c r="AC36" s="56">
        <v>19594448.032729901</v>
      </c>
    </row>
    <row r="37" spans="2:29" ht="15" x14ac:dyDescent="0.25">
      <c r="B37" s="55" t="s">
        <v>144</v>
      </c>
      <c r="C37" s="55" t="s">
        <v>131</v>
      </c>
      <c r="D37" s="55" t="s">
        <v>129</v>
      </c>
      <c r="E37" s="55" t="s">
        <v>99</v>
      </c>
      <c r="F37" s="58">
        <v>3.3506627821094099</v>
      </c>
      <c r="G37" s="58">
        <v>17.056637507753798</v>
      </c>
      <c r="H37" s="59">
        <v>0</v>
      </c>
      <c r="I37" s="59">
        <v>0</v>
      </c>
      <c r="J37" s="58">
        <v>11.878749953399801</v>
      </c>
      <c r="K37" s="58">
        <v>13.3182054819779</v>
      </c>
      <c r="L37" s="58">
        <v>20.022738332543899</v>
      </c>
      <c r="M37" s="58">
        <v>27.153919664421601</v>
      </c>
      <c r="N37" s="58">
        <v>41.245628049172403</v>
      </c>
      <c r="O37" s="58">
        <v>62.375350169501203</v>
      </c>
      <c r="P37" s="58">
        <v>94.073833436130101</v>
      </c>
      <c r="Q37" s="58">
        <v>200.74979008437899</v>
      </c>
      <c r="R37" s="59">
        <v>282.0632723814</v>
      </c>
      <c r="S37" s="59">
        <v>0</v>
      </c>
      <c r="T37" s="59">
        <v>0</v>
      </c>
      <c r="U37" s="58">
        <v>11.829482606915599</v>
      </c>
      <c r="V37" s="58">
        <v>12.9033611190439</v>
      </c>
      <c r="W37" s="58">
        <v>13.2354540683155</v>
      </c>
      <c r="X37" s="58">
        <v>22.569579177783599</v>
      </c>
      <c r="Y37" s="58">
        <v>33.266341099951497</v>
      </c>
      <c r="Z37" s="58">
        <v>48.791547008738597</v>
      </c>
      <c r="AA37" s="58">
        <v>94.073833436130101</v>
      </c>
      <c r="AB37" s="58">
        <v>200.74979008437899</v>
      </c>
      <c r="AC37" s="58">
        <v>271.44963162097298</v>
      </c>
    </row>
    <row r="38" spans="2:29" ht="15" x14ac:dyDescent="0.25">
      <c r="B38" s="54" t="s">
        <v>145</v>
      </c>
      <c r="C38" s="54" t="s">
        <v>146</v>
      </c>
      <c r="D38" s="54" t="s">
        <v>98</v>
      </c>
      <c r="E38" s="54" t="s">
        <v>99</v>
      </c>
      <c r="F38" s="56">
        <v>16313.3694136555</v>
      </c>
      <c r="G38" s="56">
        <v>101780.93792046999</v>
      </c>
      <c r="H38" s="56">
        <v>863.73826351224898</v>
      </c>
      <c r="I38" s="56">
        <v>9833.4931283461301</v>
      </c>
      <c r="J38" s="56">
        <v>30613.541482754299</v>
      </c>
      <c r="K38" s="56">
        <v>63744.809660361097</v>
      </c>
      <c r="L38" s="57">
        <v>79377.695980565099</v>
      </c>
      <c r="M38" s="56">
        <v>144127.43883713</v>
      </c>
      <c r="N38" s="56">
        <v>282862.698654773</v>
      </c>
      <c r="O38" s="56">
        <v>396926.50971395499</v>
      </c>
      <c r="P38" s="56">
        <v>435742.69677365699</v>
      </c>
      <c r="Q38" s="57">
        <v>730873.25163910096</v>
      </c>
      <c r="R38" s="56">
        <v>1119872.1087966401</v>
      </c>
      <c r="S38" s="56">
        <v>658.95497225127804</v>
      </c>
      <c r="T38" s="56">
        <v>8318.9129555656691</v>
      </c>
      <c r="U38" s="56">
        <v>27437.215719765802</v>
      </c>
      <c r="V38" s="56">
        <v>56372.867177187603</v>
      </c>
      <c r="W38" s="56">
        <v>71605.117474544095</v>
      </c>
      <c r="X38" s="56">
        <v>135807.74639638199</v>
      </c>
      <c r="Y38" s="56">
        <v>274549.34646574699</v>
      </c>
      <c r="Z38" s="56">
        <v>379267.37502137001</v>
      </c>
      <c r="AA38" s="56">
        <v>427345.874648928</v>
      </c>
      <c r="AB38" s="56">
        <v>686740.71763845102</v>
      </c>
      <c r="AC38" s="56">
        <v>1099809.31100991</v>
      </c>
    </row>
    <row r="39" spans="2:29" ht="15" x14ac:dyDescent="0.25">
      <c r="B39" s="55" t="s">
        <v>147</v>
      </c>
      <c r="C39" s="55" t="s">
        <v>146</v>
      </c>
      <c r="D39" s="55" t="s">
        <v>101</v>
      </c>
      <c r="E39" s="55" t="s">
        <v>99</v>
      </c>
      <c r="F39" s="58">
        <v>63538.738323422302</v>
      </c>
      <c r="G39" s="59">
        <v>289389.523628589</v>
      </c>
      <c r="H39" s="58">
        <v>1499.0289567882801</v>
      </c>
      <c r="I39" s="58">
        <v>38911.652955102501</v>
      </c>
      <c r="J39" s="58">
        <v>129370.08143198999</v>
      </c>
      <c r="K39" s="58">
        <v>281825.70377250598</v>
      </c>
      <c r="L39" s="58">
        <v>347415.83615680999</v>
      </c>
      <c r="M39" s="58">
        <v>642381.47724371601</v>
      </c>
      <c r="N39" s="58">
        <v>1158612.2155772101</v>
      </c>
      <c r="O39" s="58">
        <v>1785054.47695114</v>
      </c>
      <c r="P39" s="58">
        <v>1888393.20661576</v>
      </c>
      <c r="Q39" s="58">
        <v>2635595.8613003301</v>
      </c>
      <c r="R39" s="58">
        <v>3592330.5155352498</v>
      </c>
      <c r="S39" s="58">
        <v>1343.6051963293301</v>
      </c>
      <c r="T39" s="58">
        <v>33838.290465566097</v>
      </c>
      <c r="U39" s="58">
        <v>113866.79124388201</v>
      </c>
      <c r="V39" s="58">
        <v>267629.23089063901</v>
      </c>
      <c r="W39" s="59">
        <v>312716.38179776701</v>
      </c>
      <c r="X39" s="58">
        <v>600533.35362986196</v>
      </c>
      <c r="Y39" s="58">
        <v>1115930.81279725</v>
      </c>
      <c r="Z39" s="58">
        <v>1703932.89055249</v>
      </c>
      <c r="AA39" s="58">
        <v>1875428.5394898299</v>
      </c>
      <c r="AB39" s="58">
        <v>2534327.9788056398</v>
      </c>
      <c r="AC39" s="58">
        <v>3582026.6773250699</v>
      </c>
    </row>
    <row r="40" spans="2:29" ht="15" x14ac:dyDescent="0.25">
      <c r="B40" s="54" t="s">
        <v>148</v>
      </c>
      <c r="C40" s="54" t="s">
        <v>146</v>
      </c>
      <c r="D40" s="54" t="s">
        <v>103</v>
      </c>
      <c r="E40" s="54" t="s">
        <v>99</v>
      </c>
      <c r="F40" s="56">
        <v>15446.848857479799</v>
      </c>
      <c r="G40" s="56">
        <v>50256.015715262401</v>
      </c>
      <c r="H40" s="56">
        <v>1908.2493926678301</v>
      </c>
      <c r="I40" s="56">
        <v>13912.740760136699</v>
      </c>
      <c r="J40" s="56">
        <v>32756.432101932001</v>
      </c>
      <c r="K40" s="56">
        <v>69365.7116070505</v>
      </c>
      <c r="L40" s="56">
        <v>89646.935411484796</v>
      </c>
      <c r="M40" s="56">
        <v>153520.01288385899</v>
      </c>
      <c r="N40" s="56">
        <v>233613.536779772</v>
      </c>
      <c r="O40" s="57">
        <v>343091.18864478398</v>
      </c>
      <c r="P40" s="57">
        <v>397271.57797247398</v>
      </c>
      <c r="Q40" s="56">
        <v>540868.44985925802</v>
      </c>
      <c r="R40" s="56">
        <v>705970.61794954899</v>
      </c>
      <c r="S40" s="56">
        <v>1459.7607831508701</v>
      </c>
      <c r="T40" s="56">
        <v>10671.704186536699</v>
      </c>
      <c r="U40" s="56">
        <v>26402.307570439301</v>
      </c>
      <c r="V40" s="56">
        <v>60602.287029903397</v>
      </c>
      <c r="W40" s="56">
        <v>78784.164932949396</v>
      </c>
      <c r="X40" s="56">
        <v>145873.741870939</v>
      </c>
      <c r="Y40" s="57">
        <v>221028.68060461801</v>
      </c>
      <c r="Z40" s="56">
        <v>323398.91042083898</v>
      </c>
      <c r="AA40" s="56">
        <v>349296.93813410599</v>
      </c>
      <c r="AB40" s="56">
        <v>470806.59080894798</v>
      </c>
      <c r="AC40" s="56">
        <v>631509.71723531804</v>
      </c>
    </row>
    <row r="41" spans="2:29" ht="15" x14ac:dyDescent="0.25">
      <c r="B41" s="55" t="s">
        <v>149</v>
      </c>
      <c r="C41" s="55" t="s">
        <v>146</v>
      </c>
      <c r="D41" s="55" t="s">
        <v>105</v>
      </c>
      <c r="E41" s="55" t="s">
        <v>99</v>
      </c>
      <c r="F41" s="58">
        <v>937.59964373127605</v>
      </c>
      <c r="G41" s="58">
        <v>4684.4294742313195</v>
      </c>
      <c r="H41" s="58">
        <v>1.5119999601921501</v>
      </c>
      <c r="I41" s="58">
        <v>389.52502460967497</v>
      </c>
      <c r="J41" s="58">
        <v>1646.3409050027101</v>
      </c>
      <c r="K41" s="58">
        <v>4446.5467447700703</v>
      </c>
      <c r="L41" s="58">
        <v>5628.3226196626601</v>
      </c>
      <c r="M41" s="58">
        <v>10697.6346168113</v>
      </c>
      <c r="N41" s="58">
        <v>16283.7232764402</v>
      </c>
      <c r="O41" s="58">
        <v>28075.6363765448</v>
      </c>
      <c r="P41" s="58">
        <v>32436.694813963699</v>
      </c>
      <c r="Q41" s="58">
        <v>45202.890285141199</v>
      </c>
      <c r="R41" s="58">
        <v>61212.719735087398</v>
      </c>
      <c r="S41" s="58">
        <v>1.5075945926814001</v>
      </c>
      <c r="T41" s="58">
        <v>348.06452871508901</v>
      </c>
      <c r="U41" s="58">
        <v>1514.8546102574401</v>
      </c>
      <c r="V41" s="58">
        <v>4117.4732124190195</v>
      </c>
      <c r="W41" s="59">
        <v>5339.0686470767696</v>
      </c>
      <c r="X41" s="58">
        <v>10243.706568411901</v>
      </c>
      <c r="Y41" s="58">
        <v>15990.9464558319</v>
      </c>
      <c r="Z41" s="58">
        <v>27410.500343324198</v>
      </c>
      <c r="AA41" s="58">
        <v>32069.444630399001</v>
      </c>
      <c r="AB41" s="59">
        <v>43566.547341412297</v>
      </c>
      <c r="AC41" s="58">
        <v>61211.083334720199</v>
      </c>
    </row>
    <row r="42" spans="2:29" ht="15" x14ac:dyDescent="0.25">
      <c r="B42" s="54" t="s">
        <v>150</v>
      </c>
      <c r="C42" s="54" t="s">
        <v>146</v>
      </c>
      <c r="D42" s="54" t="s">
        <v>107</v>
      </c>
      <c r="E42" s="54" t="s">
        <v>99</v>
      </c>
      <c r="F42" s="56">
        <v>73266.035393854996</v>
      </c>
      <c r="G42" s="56">
        <v>271940.25976594503</v>
      </c>
      <c r="H42" s="56">
        <v>4140.0378268309696</v>
      </c>
      <c r="I42" s="56">
        <v>63890.777449383</v>
      </c>
      <c r="J42" s="56">
        <v>183677.85701268801</v>
      </c>
      <c r="K42" s="56">
        <v>359116.67456788302</v>
      </c>
      <c r="L42" s="56">
        <v>433498.26921431097</v>
      </c>
      <c r="M42" s="56">
        <v>717469.51734432695</v>
      </c>
      <c r="N42" s="56">
        <v>1004772.27643116</v>
      </c>
      <c r="O42" s="56">
        <v>1382141.8031339101</v>
      </c>
      <c r="P42" s="56">
        <v>1533832.12995857</v>
      </c>
      <c r="Q42" s="56">
        <v>2265758.7827266599</v>
      </c>
      <c r="R42" s="56">
        <v>2900824.9412122001</v>
      </c>
      <c r="S42" s="56">
        <v>3312.5224777763601</v>
      </c>
      <c r="T42" s="56">
        <v>56132.1383583348</v>
      </c>
      <c r="U42" s="56">
        <v>159525.31031317299</v>
      </c>
      <c r="V42" s="56">
        <v>318697.56705216499</v>
      </c>
      <c r="W42" s="56">
        <v>385446.821001951</v>
      </c>
      <c r="X42" s="56">
        <v>630423.406235534</v>
      </c>
      <c r="Y42" s="56">
        <v>964314.45463342697</v>
      </c>
      <c r="Z42" s="56">
        <v>1269334.47429715</v>
      </c>
      <c r="AA42" s="56">
        <v>1375726.78218987</v>
      </c>
      <c r="AB42" s="56">
        <v>2039216.81513099</v>
      </c>
      <c r="AC42" s="56">
        <v>2654164.60148338</v>
      </c>
    </row>
    <row r="43" spans="2:29" ht="15" x14ac:dyDescent="0.25">
      <c r="B43" s="55" t="s">
        <v>151</v>
      </c>
      <c r="C43" s="55" t="s">
        <v>146</v>
      </c>
      <c r="D43" s="55" t="s">
        <v>109</v>
      </c>
      <c r="E43" s="55" t="s">
        <v>99</v>
      </c>
      <c r="F43" s="58">
        <v>9267.8579539680704</v>
      </c>
      <c r="G43" s="58">
        <v>26370.704264931199</v>
      </c>
      <c r="H43" s="58">
        <v>2136.7528082550798</v>
      </c>
      <c r="I43" s="58">
        <v>10146.424276268501</v>
      </c>
      <c r="J43" s="58">
        <v>21101.586840216602</v>
      </c>
      <c r="K43" s="58">
        <v>39794.268440049404</v>
      </c>
      <c r="L43" s="58">
        <v>46954.385537620699</v>
      </c>
      <c r="M43" s="58">
        <v>77776.442864947094</v>
      </c>
      <c r="N43" s="58">
        <v>117411.29359579799</v>
      </c>
      <c r="O43" s="58">
        <v>165777.27306409201</v>
      </c>
      <c r="P43" s="58">
        <v>180453.15806071501</v>
      </c>
      <c r="Q43" s="58">
        <v>241824.99030460601</v>
      </c>
      <c r="R43" s="58">
        <v>335130.54904393398</v>
      </c>
      <c r="S43" s="58">
        <v>1487.4829039285501</v>
      </c>
      <c r="T43" s="59">
        <v>7331.1374716133596</v>
      </c>
      <c r="U43" s="58">
        <v>16435.925485988799</v>
      </c>
      <c r="V43" s="58">
        <v>33071.557617826104</v>
      </c>
      <c r="W43" s="58">
        <v>40497.785295308902</v>
      </c>
      <c r="X43" s="58">
        <v>68511.165794968794</v>
      </c>
      <c r="Y43" s="58">
        <v>103382.661657178</v>
      </c>
      <c r="Z43" s="58">
        <v>149842.07206934501</v>
      </c>
      <c r="AA43" s="58">
        <v>170856.57951736901</v>
      </c>
      <c r="AB43" s="58">
        <v>234626.624102453</v>
      </c>
      <c r="AC43" s="58">
        <v>333107.88130865199</v>
      </c>
    </row>
    <row r="44" spans="2:29" ht="15" x14ac:dyDescent="0.25">
      <c r="B44" s="54" t="s">
        <v>152</v>
      </c>
      <c r="C44" s="54" t="s">
        <v>146</v>
      </c>
      <c r="D44" s="54" t="s">
        <v>111</v>
      </c>
      <c r="E44" s="54" t="s">
        <v>99</v>
      </c>
      <c r="F44" s="56">
        <v>35322.809292901198</v>
      </c>
      <c r="G44" s="56">
        <v>159276.902163992</v>
      </c>
      <c r="H44" s="56">
        <v>536.67152578376704</v>
      </c>
      <c r="I44" s="56">
        <v>17390.865833703599</v>
      </c>
      <c r="J44" s="56">
        <v>71194.086270426298</v>
      </c>
      <c r="K44" s="56">
        <v>169038.66757288799</v>
      </c>
      <c r="L44" s="56">
        <v>207195.923665788</v>
      </c>
      <c r="M44" s="57">
        <v>369196.22589272202</v>
      </c>
      <c r="N44" s="56">
        <v>600597.35582074395</v>
      </c>
      <c r="O44" s="57">
        <v>942870.71058933798</v>
      </c>
      <c r="P44" s="56">
        <v>1078602.66621401</v>
      </c>
      <c r="Q44" s="56">
        <v>1785783.5706297599</v>
      </c>
      <c r="R44" s="56">
        <v>2336666.7772818902</v>
      </c>
      <c r="S44" s="56">
        <v>438.71630554894301</v>
      </c>
      <c r="T44" s="56">
        <v>15144.771632484</v>
      </c>
      <c r="U44" s="56">
        <v>63892.473249569703</v>
      </c>
      <c r="V44" s="56">
        <v>158086.60860316499</v>
      </c>
      <c r="W44" s="56">
        <v>194124.330518715</v>
      </c>
      <c r="X44" s="56">
        <v>357208.85786647198</v>
      </c>
      <c r="Y44" s="56">
        <v>571558.02095008094</v>
      </c>
      <c r="Z44" s="56">
        <v>900059.66415371699</v>
      </c>
      <c r="AA44" s="56">
        <v>1040264.6629917501</v>
      </c>
      <c r="AB44" s="57">
        <v>1656178.39063074</v>
      </c>
      <c r="AC44" s="56">
        <v>2327742.9463529899</v>
      </c>
    </row>
    <row r="45" spans="2:29" ht="15" x14ac:dyDescent="0.25">
      <c r="B45" s="55" t="s">
        <v>153</v>
      </c>
      <c r="C45" s="55" t="s">
        <v>146</v>
      </c>
      <c r="D45" s="55" t="s">
        <v>113</v>
      </c>
      <c r="E45" s="55" t="s">
        <v>99</v>
      </c>
      <c r="F45" s="59">
        <v>49.817301945900802</v>
      </c>
      <c r="G45" s="58">
        <v>675.08330927300699</v>
      </c>
      <c r="H45" s="59">
        <v>0</v>
      </c>
      <c r="I45" s="58">
        <v>2.6807005495016498</v>
      </c>
      <c r="J45" s="58">
        <v>30.085241224392799</v>
      </c>
      <c r="K45" s="58">
        <v>98.271456986310895</v>
      </c>
      <c r="L45" s="58">
        <v>134.203740997653</v>
      </c>
      <c r="M45" s="58">
        <v>344.533165113054</v>
      </c>
      <c r="N45" s="58">
        <v>869.34931996517798</v>
      </c>
      <c r="O45" s="58">
        <v>1691.75959946323</v>
      </c>
      <c r="P45" s="58">
        <v>2035.2851852712299</v>
      </c>
      <c r="Q45" s="58">
        <v>3223.6432256345101</v>
      </c>
      <c r="R45" s="59">
        <v>7592.9726196643296</v>
      </c>
      <c r="S45" s="59">
        <v>0</v>
      </c>
      <c r="T45" s="58">
        <v>2.6478550285485101</v>
      </c>
      <c r="U45" s="58">
        <v>27.875747620301301</v>
      </c>
      <c r="V45" s="58">
        <v>94.660339819445198</v>
      </c>
      <c r="W45" s="58">
        <v>130.27231521846801</v>
      </c>
      <c r="X45" s="58">
        <v>329.46009902775597</v>
      </c>
      <c r="Y45" s="58">
        <v>869.34931996517798</v>
      </c>
      <c r="Z45" s="58">
        <v>1687.6854905851901</v>
      </c>
      <c r="AA45" s="58">
        <v>2007.85346751559</v>
      </c>
      <c r="AB45" s="58">
        <v>3223.6432256345101</v>
      </c>
      <c r="AC45" s="58">
        <v>7579.9891602910002</v>
      </c>
    </row>
    <row r="46" spans="2:29" ht="15" x14ac:dyDescent="0.25">
      <c r="B46" s="54" t="s">
        <v>154</v>
      </c>
      <c r="C46" s="54" t="s">
        <v>146</v>
      </c>
      <c r="D46" s="54" t="s">
        <v>115</v>
      </c>
      <c r="E46" s="54" t="s">
        <v>99</v>
      </c>
      <c r="F46" s="56">
        <v>55.207030471755203</v>
      </c>
      <c r="G46" s="56">
        <v>242.487084252231</v>
      </c>
      <c r="H46" s="56">
        <v>2.05824990721305</v>
      </c>
      <c r="I46" s="56">
        <v>28.971079296389799</v>
      </c>
      <c r="J46" s="57">
        <v>90.428172649049401</v>
      </c>
      <c r="K46" s="56">
        <v>256.68327927364197</v>
      </c>
      <c r="L46" s="56">
        <v>323.380080874626</v>
      </c>
      <c r="M46" s="56">
        <v>621.97599024362705</v>
      </c>
      <c r="N46" s="56">
        <v>1008.89824448352</v>
      </c>
      <c r="O46" s="56">
        <v>1585.9227907597999</v>
      </c>
      <c r="P46" s="56">
        <v>1722.62935407806</v>
      </c>
      <c r="Q46" s="56">
        <v>2688.0666052892602</v>
      </c>
      <c r="R46" s="56">
        <v>3314.3901838335</v>
      </c>
      <c r="S46" s="56">
        <v>2.05824990721305</v>
      </c>
      <c r="T46" s="56">
        <v>24.698998914674501</v>
      </c>
      <c r="U46" s="57">
        <v>81.783533855345993</v>
      </c>
      <c r="V46" s="56">
        <v>237.06201136653701</v>
      </c>
      <c r="W46" s="56">
        <v>303.02717512918503</v>
      </c>
      <c r="X46" s="56">
        <v>592.52204967538796</v>
      </c>
      <c r="Y46" s="56">
        <v>996.58467556105495</v>
      </c>
      <c r="Z46" s="56">
        <v>1474.81789376967</v>
      </c>
      <c r="AA46" s="56">
        <v>1683.95652357224</v>
      </c>
      <c r="AB46" s="56">
        <v>2583.6046145098198</v>
      </c>
      <c r="AC46" s="56">
        <v>3228.5597387643602</v>
      </c>
    </row>
    <row r="47" spans="2:29" ht="15" x14ac:dyDescent="0.25">
      <c r="B47" s="55" t="s">
        <v>155</v>
      </c>
      <c r="C47" s="55" t="s">
        <v>146</v>
      </c>
      <c r="D47" s="55" t="s">
        <v>117</v>
      </c>
      <c r="E47" s="55" t="s">
        <v>99</v>
      </c>
      <c r="F47" s="58">
        <v>483.93458376672697</v>
      </c>
      <c r="G47" s="58">
        <v>4567.2030913283097</v>
      </c>
      <c r="H47" s="59">
        <v>0</v>
      </c>
      <c r="I47" s="59">
        <v>0</v>
      </c>
      <c r="J47" s="58">
        <v>93.012880782959797</v>
      </c>
      <c r="K47" s="58">
        <v>1011.09886405419</v>
      </c>
      <c r="L47" s="58">
        <v>1493.8256325746599</v>
      </c>
      <c r="M47" s="58">
        <v>4214.2206548473496</v>
      </c>
      <c r="N47" s="59">
        <v>9503.9780306865105</v>
      </c>
      <c r="O47" s="58">
        <v>19588.2349511051</v>
      </c>
      <c r="P47" s="58">
        <v>26457.035571320099</v>
      </c>
      <c r="Q47" s="59">
        <v>54142.469187077899</v>
      </c>
      <c r="R47" s="58">
        <v>87227.182227202895</v>
      </c>
      <c r="S47" s="59">
        <v>0</v>
      </c>
      <c r="T47" s="59">
        <v>0</v>
      </c>
      <c r="U47" s="58">
        <v>92.955888298514594</v>
      </c>
      <c r="V47" s="58">
        <v>957.75761032809396</v>
      </c>
      <c r="W47" s="58">
        <v>1466.2058100777799</v>
      </c>
      <c r="X47" s="58">
        <v>4095.3332136797399</v>
      </c>
      <c r="Y47" s="59">
        <v>9363.0147292799993</v>
      </c>
      <c r="Z47" s="58">
        <v>18880.1875357055</v>
      </c>
      <c r="AA47" s="58">
        <v>25148.3528590799</v>
      </c>
      <c r="AB47" s="58">
        <v>53314.821219404701</v>
      </c>
      <c r="AC47" s="58">
        <v>85726.435214939396</v>
      </c>
    </row>
    <row r="48" spans="2:29" ht="15" x14ac:dyDescent="0.25">
      <c r="B48" s="54" t="s">
        <v>156</v>
      </c>
      <c r="C48" s="54" t="s">
        <v>146</v>
      </c>
      <c r="D48" s="54" t="s">
        <v>119</v>
      </c>
      <c r="E48" s="54" t="s">
        <v>99</v>
      </c>
      <c r="F48" s="56">
        <v>238.08549878951999</v>
      </c>
      <c r="G48" s="56">
        <v>2924.76160132419</v>
      </c>
      <c r="H48" s="57">
        <v>0</v>
      </c>
      <c r="I48" s="57">
        <v>0</v>
      </c>
      <c r="J48" s="56">
        <v>13.4813562164136</v>
      </c>
      <c r="K48" s="56">
        <v>214.568577375323</v>
      </c>
      <c r="L48" s="56">
        <v>398.44375275648201</v>
      </c>
      <c r="M48" s="56">
        <v>1557.0147022851099</v>
      </c>
      <c r="N48" s="56">
        <v>4462.65717361323</v>
      </c>
      <c r="O48" s="56">
        <v>11445.4667767792</v>
      </c>
      <c r="P48" s="56">
        <v>15114.7776287042</v>
      </c>
      <c r="Q48" s="56">
        <v>23861.855375108898</v>
      </c>
      <c r="R48" s="56">
        <v>43025.050616610199</v>
      </c>
      <c r="S48" s="57">
        <v>0</v>
      </c>
      <c r="T48" s="57">
        <v>0</v>
      </c>
      <c r="U48" s="56">
        <v>12.392095821195699</v>
      </c>
      <c r="V48" s="56">
        <v>202.37039256278399</v>
      </c>
      <c r="W48" s="56">
        <v>395.34758603053302</v>
      </c>
      <c r="X48" s="56">
        <v>1549.71393417442</v>
      </c>
      <c r="Y48" s="56">
        <v>4374.7381986709297</v>
      </c>
      <c r="Z48" s="56">
        <v>11026.302437156601</v>
      </c>
      <c r="AA48" s="56">
        <v>15114.7776287042</v>
      </c>
      <c r="AB48" s="56">
        <v>23691.357108910601</v>
      </c>
      <c r="AC48" s="56">
        <v>41496.018179414299</v>
      </c>
    </row>
    <row r="49" spans="2:29" ht="15" x14ac:dyDescent="0.25">
      <c r="B49" s="55" t="s">
        <v>157</v>
      </c>
      <c r="C49" s="55" t="s">
        <v>146</v>
      </c>
      <c r="D49" s="55" t="s">
        <v>121</v>
      </c>
      <c r="E49" s="55" t="s">
        <v>99</v>
      </c>
      <c r="F49" s="58">
        <v>9.0473039988168207</v>
      </c>
      <c r="G49" s="58">
        <v>153.44912232354801</v>
      </c>
      <c r="H49" s="59">
        <v>0</v>
      </c>
      <c r="I49" s="59">
        <v>0</v>
      </c>
      <c r="J49" s="59">
        <v>0</v>
      </c>
      <c r="K49" s="58">
        <v>5.0399997727942702</v>
      </c>
      <c r="L49" s="58">
        <v>10.080000026913901</v>
      </c>
      <c r="M49" s="58">
        <v>60.479997342383001</v>
      </c>
      <c r="N49" s="58">
        <v>171.35999445529501</v>
      </c>
      <c r="O49" s="58">
        <v>297.359997339762</v>
      </c>
      <c r="P49" s="58">
        <v>403.19999548531598</v>
      </c>
      <c r="Q49" s="58">
        <v>735.84002086281396</v>
      </c>
      <c r="R49" s="58">
        <v>1416.2400152011201</v>
      </c>
      <c r="S49" s="59">
        <v>0</v>
      </c>
      <c r="T49" s="59">
        <v>0</v>
      </c>
      <c r="U49" s="59">
        <v>0</v>
      </c>
      <c r="V49" s="58">
        <v>5.0399997727942702</v>
      </c>
      <c r="W49" s="58">
        <v>10.080000026913901</v>
      </c>
      <c r="X49" s="58">
        <v>55.4399989758736</v>
      </c>
      <c r="Y49" s="58">
        <v>161.279996211721</v>
      </c>
      <c r="Z49" s="58">
        <v>287.28001131872298</v>
      </c>
      <c r="AA49" s="58">
        <v>403.19999548531598</v>
      </c>
      <c r="AB49" s="59">
        <v>730.79999992855198</v>
      </c>
      <c r="AC49" s="58">
        <v>1411.20002972526</v>
      </c>
    </row>
    <row r="50" spans="2:29" ht="15" x14ac:dyDescent="0.25">
      <c r="B50" s="54" t="s">
        <v>158</v>
      </c>
      <c r="C50" s="54" t="s">
        <v>146</v>
      </c>
      <c r="D50" s="54" t="s">
        <v>123</v>
      </c>
      <c r="E50" s="54" t="s">
        <v>99</v>
      </c>
      <c r="F50" s="56">
        <v>625.46673017108299</v>
      </c>
      <c r="G50" s="56">
        <v>10334.8260941595</v>
      </c>
      <c r="H50" s="57">
        <v>0</v>
      </c>
      <c r="I50" s="56">
        <v>96.398346460864602</v>
      </c>
      <c r="J50" s="56">
        <v>493.80226343880503</v>
      </c>
      <c r="K50" s="56">
        <v>1428.9990808549801</v>
      </c>
      <c r="L50" s="56">
        <v>1882.6522095939899</v>
      </c>
      <c r="M50" s="56">
        <v>4219.1308069687002</v>
      </c>
      <c r="N50" s="57">
        <v>9865.3617553816403</v>
      </c>
      <c r="O50" s="56">
        <v>21917.5722239268</v>
      </c>
      <c r="P50" s="56">
        <v>25812.137174223</v>
      </c>
      <c r="Q50" s="56">
        <v>34963.124407431402</v>
      </c>
      <c r="R50" s="56">
        <v>55657.721903403399</v>
      </c>
      <c r="S50" s="57">
        <v>0</v>
      </c>
      <c r="T50" s="57">
        <v>86.500234736995793</v>
      </c>
      <c r="U50" s="56">
        <v>455.86023873656501</v>
      </c>
      <c r="V50" s="56">
        <v>1336.2681660287301</v>
      </c>
      <c r="W50" s="56">
        <v>1791.8752448846601</v>
      </c>
      <c r="X50" s="56">
        <v>4075.7804644257499</v>
      </c>
      <c r="Y50" s="57">
        <v>9610.1503788706905</v>
      </c>
      <c r="Z50" s="56">
        <v>21917.5722239268</v>
      </c>
      <c r="AA50" s="56">
        <v>25472.767061708499</v>
      </c>
      <c r="AB50" s="56">
        <v>34958.036158454299</v>
      </c>
      <c r="AC50" s="56">
        <v>54218.244380725599</v>
      </c>
    </row>
    <row r="51" spans="2:29" ht="15" x14ac:dyDescent="0.25">
      <c r="B51" s="55" t="s">
        <v>159</v>
      </c>
      <c r="C51" s="55" t="s">
        <v>146</v>
      </c>
      <c r="D51" s="55" t="s">
        <v>125</v>
      </c>
      <c r="E51" s="55" t="s">
        <v>99</v>
      </c>
      <c r="F51" s="58">
        <v>59.855808289597398</v>
      </c>
      <c r="G51" s="58">
        <v>2729.6706697613999</v>
      </c>
      <c r="H51" s="59">
        <v>0</v>
      </c>
      <c r="I51" s="59">
        <v>0</v>
      </c>
      <c r="J51" s="59">
        <v>0</v>
      </c>
      <c r="K51" s="59">
        <v>0</v>
      </c>
      <c r="L51" s="59">
        <v>0</v>
      </c>
      <c r="M51" s="59">
        <v>0</v>
      </c>
      <c r="N51" s="58">
        <v>83.806332221968304</v>
      </c>
      <c r="O51" s="58">
        <v>705.75002354842104</v>
      </c>
      <c r="P51" s="58">
        <v>1037.4033928802601</v>
      </c>
      <c r="Q51" s="58">
        <v>3344.14102766932</v>
      </c>
      <c r="R51" s="58">
        <v>6994.2920982408896</v>
      </c>
      <c r="S51" s="59">
        <v>0</v>
      </c>
      <c r="T51" s="59">
        <v>0</v>
      </c>
      <c r="U51" s="59">
        <v>0</v>
      </c>
      <c r="V51" s="59">
        <v>0</v>
      </c>
      <c r="W51" s="59">
        <v>0</v>
      </c>
      <c r="X51" s="59">
        <v>0</v>
      </c>
      <c r="Y51" s="58">
        <v>83.806332221968304</v>
      </c>
      <c r="Z51" s="58">
        <v>705.75002354842104</v>
      </c>
      <c r="AA51" s="58">
        <v>1037.4033928802601</v>
      </c>
      <c r="AB51" s="58">
        <v>3344.14102766932</v>
      </c>
      <c r="AC51" s="58">
        <v>6994.2920982408896</v>
      </c>
    </row>
    <row r="52" spans="2:29" ht="15" x14ac:dyDescent="0.25">
      <c r="B52" s="54" t="s">
        <v>160</v>
      </c>
      <c r="C52" s="54" t="s">
        <v>146</v>
      </c>
      <c r="D52" s="54" t="s">
        <v>127</v>
      </c>
      <c r="E52" s="54" t="s">
        <v>99</v>
      </c>
      <c r="F52" s="56">
        <v>55814.6295369324</v>
      </c>
      <c r="G52" s="56">
        <v>225363.03834411601</v>
      </c>
      <c r="H52" s="56">
        <v>8794.4905665126098</v>
      </c>
      <c r="I52" s="56">
        <v>52781.643509890797</v>
      </c>
      <c r="J52" s="56">
        <v>116649.26525258399</v>
      </c>
      <c r="K52" s="56">
        <v>226457.90365659501</v>
      </c>
      <c r="L52" s="56">
        <v>274911.195213467</v>
      </c>
      <c r="M52" s="56">
        <v>486969.96456595702</v>
      </c>
      <c r="N52" s="57">
        <v>754696.530402323</v>
      </c>
      <c r="O52" s="56">
        <v>1062628.59980618</v>
      </c>
      <c r="P52" s="56">
        <v>1236817.57516095</v>
      </c>
      <c r="Q52" s="56">
        <v>1897084.9071446999</v>
      </c>
      <c r="R52" s="56">
        <v>2328697.96369866</v>
      </c>
      <c r="S52" s="56">
        <v>6291.5088885680198</v>
      </c>
      <c r="T52" s="56">
        <v>41157.090661350499</v>
      </c>
      <c r="U52" s="56">
        <v>94499.973547596703</v>
      </c>
      <c r="V52" s="56">
        <v>199118.01386499201</v>
      </c>
      <c r="W52" s="56">
        <v>243120.40057344001</v>
      </c>
      <c r="X52" s="56">
        <v>441262.03253780399</v>
      </c>
      <c r="Y52" s="56">
        <v>684478.68410421303</v>
      </c>
      <c r="Z52" s="56">
        <v>985399.57247954805</v>
      </c>
      <c r="AA52" s="57">
        <v>1137361.35981297</v>
      </c>
      <c r="AB52" s="56">
        <v>1850122.5660041501</v>
      </c>
      <c r="AC52" s="56">
        <v>2283922.9458785602</v>
      </c>
    </row>
    <row r="53" spans="2:29" ht="15" x14ac:dyDescent="0.25">
      <c r="B53" s="55" t="s">
        <v>161</v>
      </c>
      <c r="C53" s="55" t="s">
        <v>146</v>
      </c>
      <c r="D53" s="55" t="s">
        <v>129</v>
      </c>
      <c r="E53" s="55" t="s">
        <v>99</v>
      </c>
      <c r="F53" s="58">
        <v>115.43426956885899</v>
      </c>
      <c r="G53" s="58">
        <v>2011.80693852179</v>
      </c>
      <c r="H53" s="59">
        <v>0</v>
      </c>
      <c r="I53" s="59">
        <v>0</v>
      </c>
      <c r="J53" s="59">
        <v>0</v>
      </c>
      <c r="K53" s="58">
        <v>52.944057304069197</v>
      </c>
      <c r="L53" s="59">
        <v>131.10982667841199</v>
      </c>
      <c r="M53" s="58">
        <v>775.00538533317297</v>
      </c>
      <c r="N53" s="58">
        <v>2051.8570449785998</v>
      </c>
      <c r="O53" s="58">
        <v>3775.7207657977801</v>
      </c>
      <c r="P53" s="58">
        <v>4800.7527909212004</v>
      </c>
      <c r="Q53" s="58">
        <v>8493.9386555829096</v>
      </c>
      <c r="R53" s="58">
        <v>19200.4251481621</v>
      </c>
      <c r="S53" s="59">
        <v>0</v>
      </c>
      <c r="T53" s="59">
        <v>0</v>
      </c>
      <c r="U53" s="59">
        <v>0</v>
      </c>
      <c r="V53" s="58">
        <v>52.944057304069197</v>
      </c>
      <c r="W53" s="59">
        <v>131.10982667841199</v>
      </c>
      <c r="X53" s="58">
        <v>735.48772320016997</v>
      </c>
      <c r="Y53" s="58">
        <v>1925.70053844838</v>
      </c>
      <c r="Z53" s="58">
        <v>3760.0207215143801</v>
      </c>
      <c r="AA53" s="58">
        <v>4800.7527909212004</v>
      </c>
      <c r="AB53" s="59">
        <v>8336.3213188956106</v>
      </c>
      <c r="AC53" s="58">
        <v>19096.745607954999</v>
      </c>
    </row>
    <row r="54" spans="2:29" ht="15" x14ac:dyDescent="0.25">
      <c r="B54" s="54" t="s">
        <v>162</v>
      </c>
      <c r="C54" s="54" t="s">
        <v>163</v>
      </c>
      <c r="D54" s="54" t="s">
        <v>98</v>
      </c>
      <c r="E54" s="54" t="s">
        <v>99</v>
      </c>
      <c r="F54" s="56">
        <v>19225.223718765701</v>
      </c>
      <c r="G54" s="56">
        <v>108962.37303759401</v>
      </c>
      <c r="H54" s="56">
        <v>957.34307263175594</v>
      </c>
      <c r="I54" s="56">
        <v>11936.210893503699</v>
      </c>
      <c r="J54" s="56">
        <v>38237.885793404203</v>
      </c>
      <c r="K54" s="56">
        <v>79130.226873497406</v>
      </c>
      <c r="L54" s="56">
        <v>94784.219900607102</v>
      </c>
      <c r="M54" s="56">
        <v>174102.10139111601</v>
      </c>
      <c r="N54" s="56">
        <v>319933.61543397699</v>
      </c>
      <c r="O54" s="56">
        <v>470503.381033185</v>
      </c>
      <c r="P54" s="56">
        <v>496329.52312447003</v>
      </c>
      <c r="Q54" s="56">
        <v>812451.53132404201</v>
      </c>
      <c r="R54" s="56">
        <v>1396969.4983923601</v>
      </c>
      <c r="S54" s="57">
        <v>736.59584838083902</v>
      </c>
      <c r="T54" s="57">
        <v>9905.2556495916797</v>
      </c>
      <c r="U54" s="56">
        <v>33721.241935480502</v>
      </c>
      <c r="V54" s="56">
        <v>70538.311951694704</v>
      </c>
      <c r="W54" s="56">
        <v>87331.522258537996</v>
      </c>
      <c r="X54" s="56">
        <v>166967.96773429701</v>
      </c>
      <c r="Y54" s="57">
        <v>310633.770610362</v>
      </c>
      <c r="Z54" s="56">
        <v>462463.27791732602</v>
      </c>
      <c r="AA54" s="56">
        <v>490715.59690689697</v>
      </c>
      <c r="AB54" s="56">
        <v>776778.54139610694</v>
      </c>
      <c r="AC54" s="56">
        <v>1396969.4983923601</v>
      </c>
    </row>
    <row r="55" spans="2:29" ht="15" x14ac:dyDescent="0.25">
      <c r="B55" s="55" t="s">
        <v>164</v>
      </c>
      <c r="C55" s="55" t="s">
        <v>163</v>
      </c>
      <c r="D55" s="55" t="s">
        <v>101</v>
      </c>
      <c r="E55" s="55" t="s">
        <v>99</v>
      </c>
      <c r="F55" s="58">
        <v>99837.631213974106</v>
      </c>
      <c r="G55" s="58">
        <v>494719.56661373301</v>
      </c>
      <c r="H55" s="58">
        <v>1891.09033642334</v>
      </c>
      <c r="I55" s="58">
        <v>55174.201946684901</v>
      </c>
      <c r="J55" s="58">
        <v>189478.74322979001</v>
      </c>
      <c r="K55" s="58">
        <v>428079.29227339401</v>
      </c>
      <c r="L55" s="59">
        <v>531640.80768602702</v>
      </c>
      <c r="M55" s="58">
        <v>996079.23622328299</v>
      </c>
      <c r="N55" s="58">
        <v>1769130.41944688</v>
      </c>
      <c r="O55" s="58">
        <v>2970221.0986043899</v>
      </c>
      <c r="P55" s="58">
        <v>3314850.0651829699</v>
      </c>
      <c r="Q55" s="58">
        <v>4615734.3652694896</v>
      </c>
      <c r="R55" s="58">
        <v>6090084.5949234897</v>
      </c>
      <c r="S55" s="58">
        <v>1716.98162115626</v>
      </c>
      <c r="T55" s="58">
        <v>47037.838737045502</v>
      </c>
      <c r="U55" s="58">
        <v>167250.67655578899</v>
      </c>
      <c r="V55" s="58">
        <v>397447.60664129403</v>
      </c>
      <c r="W55" s="58">
        <v>487174.34248263098</v>
      </c>
      <c r="X55" s="58">
        <v>916587.76913683803</v>
      </c>
      <c r="Y55" s="58">
        <v>1738255.4227831699</v>
      </c>
      <c r="Z55" s="58">
        <v>2838558.2699380498</v>
      </c>
      <c r="AA55" s="58">
        <v>3295018.0422896901</v>
      </c>
      <c r="AB55" s="58">
        <v>4329079.8956686901</v>
      </c>
      <c r="AC55" s="58">
        <v>6079780.7567133</v>
      </c>
    </row>
    <row r="56" spans="2:29" ht="15" x14ac:dyDescent="0.25">
      <c r="B56" s="54" t="s">
        <v>165</v>
      </c>
      <c r="C56" s="54" t="s">
        <v>163</v>
      </c>
      <c r="D56" s="54" t="s">
        <v>103</v>
      </c>
      <c r="E56" s="54" t="s">
        <v>99</v>
      </c>
      <c r="F56" s="56">
        <v>17684.3968241189</v>
      </c>
      <c r="G56" s="56">
        <v>60848.859486519403</v>
      </c>
      <c r="H56" s="56">
        <v>1906.4472274734101</v>
      </c>
      <c r="I56" s="56">
        <v>13934.231886793799</v>
      </c>
      <c r="J56" s="56">
        <v>32811.063018038098</v>
      </c>
      <c r="K56" s="56">
        <v>70681.645729704294</v>
      </c>
      <c r="L56" s="56">
        <v>95527.086582361706</v>
      </c>
      <c r="M56" s="56">
        <v>218494.734626408</v>
      </c>
      <c r="N56" s="56">
        <v>322040.298849685</v>
      </c>
      <c r="O56" s="56">
        <v>442493.94320507901</v>
      </c>
      <c r="P56" s="56">
        <v>487062.90256408101</v>
      </c>
      <c r="Q56" s="56">
        <v>583742.28335749905</v>
      </c>
      <c r="R56" s="56">
        <v>757834.17221416195</v>
      </c>
      <c r="S56" s="56">
        <v>1463.22123914843</v>
      </c>
      <c r="T56" s="56">
        <v>10699.0727935505</v>
      </c>
      <c r="U56" s="56">
        <v>26477.284126767601</v>
      </c>
      <c r="V56" s="56">
        <v>61901.990206528797</v>
      </c>
      <c r="W56" s="56">
        <v>84328.965652899395</v>
      </c>
      <c r="X56" s="57">
        <v>206876.986490118</v>
      </c>
      <c r="Y56" s="56">
        <v>311204.67857050302</v>
      </c>
      <c r="Z56" s="56">
        <v>410132.07202546601</v>
      </c>
      <c r="AA56" s="56">
        <v>450770.14127927902</v>
      </c>
      <c r="AB56" s="56">
        <v>551101.149884813</v>
      </c>
      <c r="AC56" s="56">
        <v>666214.54992786702</v>
      </c>
    </row>
    <row r="57" spans="2:29" ht="15" x14ac:dyDescent="0.25">
      <c r="B57" s="55" t="s">
        <v>166</v>
      </c>
      <c r="C57" s="55" t="s">
        <v>163</v>
      </c>
      <c r="D57" s="55" t="s">
        <v>105</v>
      </c>
      <c r="E57" s="55" t="s">
        <v>99</v>
      </c>
      <c r="F57" s="58">
        <v>1033.15656718471</v>
      </c>
      <c r="G57" s="58">
        <v>4540.5748180344399</v>
      </c>
      <c r="H57" s="58">
        <v>1.84799996586245</v>
      </c>
      <c r="I57" s="58">
        <v>497.773364227532</v>
      </c>
      <c r="J57" s="58">
        <v>2005.1258280684999</v>
      </c>
      <c r="K57" s="58">
        <v>5417.7712176209498</v>
      </c>
      <c r="L57" s="58">
        <v>6709.5143950543597</v>
      </c>
      <c r="M57" s="58">
        <v>12111.8762157982</v>
      </c>
      <c r="N57" s="58">
        <v>18761.7265151418</v>
      </c>
      <c r="O57" s="58">
        <v>27440.720441846599</v>
      </c>
      <c r="P57" s="58">
        <v>32467.428506646</v>
      </c>
      <c r="Q57" s="58">
        <v>39466.117933646601</v>
      </c>
      <c r="R57" s="58">
        <v>54523.7497025087</v>
      </c>
      <c r="S57" s="58">
        <v>1.84799996586245</v>
      </c>
      <c r="T57" s="58">
        <v>426.98305988443298</v>
      </c>
      <c r="U57" s="58">
        <v>1833.46885536387</v>
      </c>
      <c r="V57" s="58">
        <v>5025.6570685854504</v>
      </c>
      <c r="W57" s="58">
        <v>6306.0537966166503</v>
      </c>
      <c r="X57" s="59">
        <v>11654.0765580281</v>
      </c>
      <c r="Y57" s="58">
        <v>18169.926266682302</v>
      </c>
      <c r="Z57" s="58">
        <v>27029.606129172698</v>
      </c>
      <c r="AA57" s="59">
        <v>30240.361079409198</v>
      </c>
      <c r="AB57" s="58">
        <v>38613.424335455602</v>
      </c>
      <c r="AC57" s="58">
        <v>54313.529183794803</v>
      </c>
    </row>
    <row r="58" spans="2:29" ht="15" x14ac:dyDescent="0.25">
      <c r="B58" s="54" t="s">
        <v>167</v>
      </c>
      <c r="C58" s="54" t="s">
        <v>163</v>
      </c>
      <c r="D58" s="54" t="s">
        <v>107</v>
      </c>
      <c r="E58" s="54" t="s">
        <v>99</v>
      </c>
      <c r="F58" s="56">
        <v>75355.264202269798</v>
      </c>
      <c r="G58" s="56">
        <v>265921.66527862003</v>
      </c>
      <c r="H58" s="56">
        <v>4146.1791055959702</v>
      </c>
      <c r="I58" s="56">
        <v>64032.247037692701</v>
      </c>
      <c r="J58" s="56">
        <v>190500.922186918</v>
      </c>
      <c r="K58" s="56">
        <v>390984.63937774103</v>
      </c>
      <c r="L58" s="56">
        <v>463107.88971510698</v>
      </c>
      <c r="M58" s="56">
        <v>755812.92507837003</v>
      </c>
      <c r="N58" s="56">
        <v>1037552.50369672</v>
      </c>
      <c r="O58" s="57">
        <v>1435452.39932889</v>
      </c>
      <c r="P58" s="56">
        <v>1586256.9137776401</v>
      </c>
      <c r="Q58" s="56">
        <v>2157306.6907754098</v>
      </c>
      <c r="R58" s="56">
        <v>3048569.8629396898</v>
      </c>
      <c r="S58" s="56">
        <v>3350.33382612073</v>
      </c>
      <c r="T58" s="57">
        <v>56406.364236947396</v>
      </c>
      <c r="U58" s="56">
        <v>165095.52124232601</v>
      </c>
      <c r="V58" s="56">
        <v>342360.51490845002</v>
      </c>
      <c r="W58" s="56">
        <v>417272.65719350002</v>
      </c>
      <c r="X58" s="56">
        <v>672273.41217188595</v>
      </c>
      <c r="Y58" s="56">
        <v>961244.98509459</v>
      </c>
      <c r="Z58" s="56">
        <v>1318957.1159664299</v>
      </c>
      <c r="AA58" s="56">
        <v>1394849.4548273699</v>
      </c>
      <c r="AB58" s="56">
        <v>1943439.0365732601</v>
      </c>
      <c r="AC58" s="56">
        <v>2696009.5022479398</v>
      </c>
    </row>
    <row r="59" spans="2:29" ht="15" x14ac:dyDescent="0.25">
      <c r="B59" s="55" t="s">
        <v>168</v>
      </c>
      <c r="C59" s="55" t="s">
        <v>163</v>
      </c>
      <c r="D59" s="55" t="s">
        <v>109</v>
      </c>
      <c r="E59" s="55" t="s">
        <v>99</v>
      </c>
      <c r="F59" s="58">
        <v>9345.6817192072394</v>
      </c>
      <c r="G59" s="58">
        <v>26384.485446554099</v>
      </c>
      <c r="H59" s="58">
        <v>2219.23641819364</v>
      </c>
      <c r="I59" s="58">
        <v>10280.2625997869</v>
      </c>
      <c r="J59" s="58">
        <v>21210.1163167983</v>
      </c>
      <c r="K59" s="58">
        <v>39813.781078165201</v>
      </c>
      <c r="L59" s="58">
        <v>46970.143109063203</v>
      </c>
      <c r="M59" s="58">
        <v>77805.054392742299</v>
      </c>
      <c r="N59" s="58">
        <v>117456.627710844</v>
      </c>
      <c r="O59" s="58">
        <v>165777.27306409201</v>
      </c>
      <c r="P59" s="58">
        <v>180493.892054269</v>
      </c>
      <c r="Q59" s="58">
        <v>241917.79887976201</v>
      </c>
      <c r="R59" s="59">
        <v>335530.71798346</v>
      </c>
      <c r="S59" s="58">
        <v>1516.8003980265901</v>
      </c>
      <c r="T59" s="58">
        <v>7399.5500016692604</v>
      </c>
      <c r="U59" s="58">
        <v>16472.303865981801</v>
      </c>
      <c r="V59" s="58">
        <v>33072.125057800498</v>
      </c>
      <c r="W59" s="58">
        <v>40497.785295308902</v>
      </c>
      <c r="X59" s="59">
        <v>68511.165794968794</v>
      </c>
      <c r="Y59" s="58">
        <v>103391.44645320201</v>
      </c>
      <c r="Z59" s="58">
        <v>149842.07206934501</v>
      </c>
      <c r="AA59" s="58">
        <v>170856.57951736901</v>
      </c>
      <c r="AB59" s="58">
        <v>234631.01650025501</v>
      </c>
      <c r="AC59" s="58">
        <v>333136.26047213603</v>
      </c>
    </row>
    <row r="60" spans="2:29" ht="15" x14ac:dyDescent="0.25">
      <c r="B60" s="54" t="s">
        <v>169</v>
      </c>
      <c r="C60" s="54" t="s">
        <v>163</v>
      </c>
      <c r="D60" s="54" t="s">
        <v>111</v>
      </c>
      <c r="E60" s="54" t="s">
        <v>99</v>
      </c>
      <c r="F60" s="57">
        <v>39091.5783627727</v>
      </c>
      <c r="G60" s="56">
        <v>149293.50451902801</v>
      </c>
      <c r="H60" s="56">
        <v>632.63903740149397</v>
      </c>
      <c r="I60" s="57">
        <v>21354.0387394602</v>
      </c>
      <c r="J60" s="56">
        <v>86412.619264257795</v>
      </c>
      <c r="K60" s="56">
        <v>208094.41593664701</v>
      </c>
      <c r="L60" s="56">
        <v>253601.43161407</v>
      </c>
      <c r="M60" s="56">
        <v>448299.36278765998</v>
      </c>
      <c r="N60" s="56">
        <v>672366.71642580896</v>
      </c>
      <c r="O60" s="56">
        <v>917935.79973227496</v>
      </c>
      <c r="P60" s="56">
        <v>1010048.05477347</v>
      </c>
      <c r="Q60" s="56">
        <v>1365457.21735654</v>
      </c>
      <c r="R60" s="56">
        <v>1929404.6995091401</v>
      </c>
      <c r="S60" s="56">
        <v>522.44227871436203</v>
      </c>
      <c r="T60" s="56">
        <v>18531.976810321001</v>
      </c>
      <c r="U60" s="56">
        <v>78737.521111527501</v>
      </c>
      <c r="V60" s="56">
        <v>193460.67004918901</v>
      </c>
      <c r="W60" s="56">
        <v>240091.345776484</v>
      </c>
      <c r="X60" s="56">
        <v>436797.94548861502</v>
      </c>
      <c r="Y60" s="56">
        <v>653448.28059955197</v>
      </c>
      <c r="Z60" s="56">
        <v>870068.77695616405</v>
      </c>
      <c r="AA60" s="56">
        <v>953272.27623180405</v>
      </c>
      <c r="AB60" s="56">
        <v>1309716.0649257</v>
      </c>
      <c r="AC60" s="56">
        <v>1896938.91017553</v>
      </c>
    </row>
    <row r="61" spans="2:29" ht="15" x14ac:dyDescent="0.25">
      <c r="B61" s="55" t="s">
        <v>170</v>
      </c>
      <c r="C61" s="55" t="s">
        <v>163</v>
      </c>
      <c r="D61" s="55" t="s">
        <v>113</v>
      </c>
      <c r="E61" s="55" t="s">
        <v>99</v>
      </c>
      <c r="F61" s="58">
        <v>49.942508187584302</v>
      </c>
      <c r="G61" s="58">
        <v>626.27955146121099</v>
      </c>
      <c r="H61" s="59">
        <v>0</v>
      </c>
      <c r="I61" s="58">
        <v>3.1582240084325601</v>
      </c>
      <c r="J61" s="58">
        <v>36.319574947431398</v>
      </c>
      <c r="K61" s="58">
        <v>108.483197682713</v>
      </c>
      <c r="L61" s="58">
        <v>149.603838725955</v>
      </c>
      <c r="M61" s="58">
        <v>355.300205702374</v>
      </c>
      <c r="N61" s="58">
        <v>923.38079907957604</v>
      </c>
      <c r="O61" s="58">
        <v>1761.8015197165901</v>
      </c>
      <c r="P61" s="58">
        <v>2059.9900915347398</v>
      </c>
      <c r="Q61" s="58">
        <v>3321.6019207333402</v>
      </c>
      <c r="R61" s="58">
        <v>8028.4648212081602</v>
      </c>
      <c r="S61" s="59">
        <v>0</v>
      </c>
      <c r="T61" s="58">
        <v>3.1582240084325601</v>
      </c>
      <c r="U61" s="58">
        <v>34.740463441514599</v>
      </c>
      <c r="V61" s="59">
        <v>107.61519778304699</v>
      </c>
      <c r="W61" s="58">
        <v>141.644549612963</v>
      </c>
      <c r="X61" s="58">
        <v>332.131730063242</v>
      </c>
      <c r="Y61" s="58">
        <v>923.38079907957604</v>
      </c>
      <c r="Z61" s="58">
        <v>1755.4850718505299</v>
      </c>
      <c r="AA61" s="58">
        <v>2059.9900915347398</v>
      </c>
      <c r="AB61" s="58">
        <v>3320.0228088045201</v>
      </c>
      <c r="AC61" s="58">
        <v>8012.6737005941904</v>
      </c>
    </row>
    <row r="62" spans="2:29" ht="15" x14ac:dyDescent="0.25">
      <c r="B62" s="54" t="s">
        <v>171</v>
      </c>
      <c r="C62" s="54" t="s">
        <v>163</v>
      </c>
      <c r="D62" s="54" t="s">
        <v>115</v>
      </c>
      <c r="E62" s="54" t="s">
        <v>99</v>
      </c>
      <c r="F62" s="56">
        <v>67.209651961341805</v>
      </c>
      <c r="G62" s="57">
        <v>293.58399574108103</v>
      </c>
      <c r="H62" s="56">
        <v>2.05824990721305</v>
      </c>
      <c r="I62" s="56">
        <v>37.054859105459997</v>
      </c>
      <c r="J62" s="56">
        <v>116.27918833819299</v>
      </c>
      <c r="K62" s="57">
        <v>299.04559141648099</v>
      </c>
      <c r="L62" s="56">
        <v>384.487199600971</v>
      </c>
      <c r="M62" s="56">
        <v>785.93407529078695</v>
      </c>
      <c r="N62" s="56">
        <v>1250.22294840267</v>
      </c>
      <c r="O62" s="56">
        <v>1826.2364193277101</v>
      </c>
      <c r="P62" s="56">
        <v>2110.4075235033802</v>
      </c>
      <c r="Q62" s="56">
        <v>2997.4982896589499</v>
      </c>
      <c r="R62" s="56">
        <v>4073.3027675478702</v>
      </c>
      <c r="S62" s="56">
        <v>2.05824990721305</v>
      </c>
      <c r="T62" s="56">
        <v>31.239889907624701</v>
      </c>
      <c r="U62" s="56">
        <v>104.09631979061599</v>
      </c>
      <c r="V62" s="56">
        <v>277.68519624374102</v>
      </c>
      <c r="W62" s="56">
        <v>351.091924192242</v>
      </c>
      <c r="X62" s="56">
        <v>747.76079949698703</v>
      </c>
      <c r="Y62" s="56">
        <v>1226.3206286243801</v>
      </c>
      <c r="Z62" s="56">
        <v>1824.15542889883</v>
      </c>
      <c r="AA62" s="56">
        <v>2067.6867351226101</v>
      </c>
      <c r="AB62" s="56">
        <v>2843.6907324301401</v>
      </c>
      <c r="AC62" s="56">
        <v>3528.73804527732</v>
      </c>
    </row>
    <row r="63" spans="2:29" ht="15" x14ac:dyDescent="0.25">
      <c r="B63" s="55" t="s">
        <v>172</v>
      </c>
      <c r="C63" s="55" t="s">
        <v>163</v>
      </c>
      <c r="D63" s="55" t="s">
        <v>117</v>
      </c>
      <c r="E63" s="55" t="s">
        <v>99</v>
      </c>
      <c r="F63" s="58">
        <v>483.93458376672697</v>
      </c>
      <c r="G63" s="58">
        <v>4567.2030913283097</v>
      </c>
      <c r="H63" s="59">
        <v>0</v>
      </c>
      <c r="I63" s="59">
        <v>0</v>
      </c>
      <c r="J63" s="58">
        <v>93.012880782959797</v>
      </c>
      <c r="K63" s="58">
        <v>1011.09886405419</v>
      </c>
      <c r="L63" s="58">
        <v>1493.8256325746599</v>
      </c>
      <c r="M63" s="58">
        <v>4214.2206548473496</v>
      </c>
      <c r="N63" s="59">
        <v>9503.9780306865105</v>
      </c>
      <c r="O63" s="58">
        <v>19588.2349511051</v>
      </c>
      <c r="P63" s="58">
        <v>26457.035571320099</v>
      </c>
      <c r="Q63" s="59">
        <v>54142.469187077899</v>
      </c>
      <c r="R63" s="58">
        <v>87227.182227202895</v>
      </c>
      <c r="S63" s="59">
        <v>0</v>
      </c>
      <c r="T63" s="59">
        <v>0</v>
      </c>
      <c r="U63" s="58">
        <v>92.955888298514594</v>
      </c>
      <c r="V63" s="58">
        <v>957.75761032809396</v>
      </c>
      <c r="W63" s="58">
        <v>1466.2058100777799</v>
      </c>
      <c r="X63" s="58">
        <v>4095.3332136797399</v>
      </c>
      <c r="Y63" s="59">
        <v>9363.0147292799993</v>
      </c>
      <c r="Z63" s="58">
        <v>18880.1875357055</v>
      </c>
      <c r="AA63" s="58">
        <v>25148.3528590799</v>
      </c>
      <c r="AB63" s="58">
        <v>53314.821219404701</v>
      </c>
      <c r="AC63" s="58">
        <v>85726.435214939396</v>
      </c>
    </row>
    <row r="64" spans="2:29" ht="15" x14ac:dyDescent="0.25">
      <c r="B64" s="54" t="s">
        <v>173</v>
      </c>
      <c r="C64" s="54" t="s">
        <v>163</v>
      </c>
      <c r="D64" s="54" t="s">
        <v>119</v>
      </c>
      <c r="E64" s="54" t="s">
        <v>99</v>
      </c>
      <c r="F64" s="56">
        <v>238.08549878951999</v>
      </c>
      <c r="G64" s="56">
        <v>2924.76160132419</v>
      </c>
      <c r="H64" s="57">
        <v>0</v>
      </c>
      <c r="I64" s="57">
        <v>0</v>
      </c>
      <c r="J64" s="56">
        <v>13.4813562164136</v>
      </c>
      <c r="K64" s="56">
        <v>214.568577375323</v>
      </c>
      <c r="L64" s="56">
        <v>398.44375275648201</v>
      </c>
      <c r="M64" s="56">
        <v>1557.0147022851099</v>
      </c>
      <c r="N64" s="56">
        <v>4462.65717361323</v>
      </c>
      <c r="O64" s="56">
        <v>11445.4667767792</v>
      </c>
      <c r="P64" s="56">
        <v>15114.7776287042</v>
      </c>
      <c r="Q64" s="56">
        <v>23861.855375108898</v>
      </c>
      <c r="R64" s="56">
        <v>43025.050616610199</v>
      </c>
      <c r="S64" s="57">
        <v>0</v>
      </c>
      <c r="T64" s="57">
        <v>0</v>
      </c>
      <c r="U64" s="56">
        <v>12.392095821195699</v>
      </c>
      <c r="V64" s="56">
        <v>202.37039256278399</v>
      </c>
      <c r="W64" s="56">
        <v>395.34758603053302</v>
      </c>
      <c r="X64" s="56">
        <v>1549.71393417442</v>
      </c>
      <c r="Y64" s="56">
        <v>4374.7381986709297</v>
      </c>
      <c r="Z64" s="56">
        <v>11026.302437156601</v>
      </c>
      <c r="AA64" s="56">
        <v>15114.7776287042</v>
      </c>
      <c r="AB64" s="56">
        <v>23691.357108910601</v>
      </c>
      <c r="AC64" s="56">
        <v>41496.018179414299</v>
      </c>
    </row>
    <row r="65" spans="2:29" ht="15" x14ac:dyDescent="0.25">
      <c r="B65" s="55" t="s">
        <v>174</v>
      </c>
      <c r="C65" s="55" t="s">
        <v>163</v>
      </c>
      <c r="D65" s="55" t="s">
        <v>121</v>
      </c>
      <c r="E65" s="55" t="s">
        <v>99</v>
      </c>
      <c r="F65" s="58">
        <v>9.0473039988168207</v>
      </c>
      <c r="G65" s="58">
        <v>153.44912232354801</v>
      </c>
      <c r="H65" s="59">
        <v>0</v>
      </c>
      <c r="I65" s="59">
        <v>0</v>
      </c>
      <c r="J65" s="59">
        <v>0</v>
      </c>
      <c r="K65" s="58">
        <v>5.0399997727942702</v>
      </c>
      <c r="L65" s="58">
        <v>10.080000026913901</v>
      </c>
      <c r="M65" s="58">
        <v>60.479997342383001</v>
      </c>
      <c r="N65" s="58">
        <v>171.35999445529501</v>
      </c>
      <c r="O65" s="58">
        <v>297.359997339762</v>
      </c>
      <c r="P65" s="58">
        <v>403.19999548531598</v>
      </c>
      <c r="Q65" s="58">
        <v>735.84002086281396</v>
      </c>
      <c r="R65" s="58">
        <v>1416.2400152011201</v>
      </c>
      <c r="S65" s="59">
        <v>0</v>
      </c>
      <c r="T65" s="59">
        <v>0</v>
      </c>
      <c r="U65" s="59">
        <v>0</v>
      </c>
      <c r="V65" s="58">
        <v>5.0399997727942702</v>
      </c>
      <c r="W65" s="58">
        <v>10.080000026913901</v>
      </c>
      <c r="X65" s="58">
        <v>55.4399989758736</v>
      </c>
      <c r="Y65" s="58">
        <v>161.279996211721</v>
      </c>
      <c r="Z65" s="58">
        <v>287.28001131872298</v>
      </c>
      <c r="AA65" s="58">
        <v>403.19999548531598</v>
      </c>
      <c r="AB65" s="59">
        <v>730.79999992855198</v>
      </c>
      <c r="AC65" s="58">
        <v>1411.20002972526</v>
      </c>
    </row>
    <row r="66" spans="2:29" ht="15" x14ac:dyDescent="0.25">
      <c r="B66" s="54" t="s">
        <v>175</v>
      </c>
      <c r="C66" s="54" t="s">
        <v>163</v>
      </c>
      <c r="D66" s="54" t="s">
        <v>123</v>
      </c>
      <c r="E66" s="54" t="s">
        <v>99</v>
      </c>
      <c r="F66" s="56">
        <v>625.91643413469797</v>
      </c>
      <c r="G66" s="56">
        <v>10301.559168756599</v>
      </c>
      <c r="H66" s="57">
        <v>0</v>
      </c>
      <c r="I66" s="56">
        <v>96.676736063450306</v>
      </c>
      <c r="J66" s="56">
        <v>519.00710957526303</v>
      </c>
      <c r="K66" s="56">
        <v>1431.7434240412099</v>
      </c>
      <c r="L66" s="56">
        <v>1903.73340281329</v>
      </c>
      <c r="M66" s="56">
        <v>4223.49949375908</v>
      </c>
      <c r="N66" s="57">
        <v>9905.9559737819909</v>
      </c>
      <c r="O66" s="56">
        <v>21678.0291791378</v>
      </c>
      <c r="P66" s="56">
        <v>25812.137174223</v>
      </c>
      <c r="Q66" s="56">
        <v>34963.124407431402</v>
      </c>
      <c r="R66" s="56">
        <v>55042.176533026301</v>
      </c>
      <c r="S66" s="57">
        <v>0</v>
      </c>
      <c r="T66" s="57">
        <v>86.500234736995793</v>
      </c>
      <c r="U66" s="56">
        <v>478.29541841812801</v>
      </c>
      <c r="V66" s="56">
        <v>1354.65405125806</v>
      </c>
      <c r="W66" s="56">
        <v>1818.2518818378701</v>
      </c>
      <c r="X66" s="56">
        <v>4167.5511673321098</v>
      </c>
      <c r="Y66" s="56">
        <v>9783.1786191657702</v>
      </c>
      <c r="Z66" s="56">
        <v>21379.244252544799</v>
      </c>
      <c r="AA66" s="56">
        <v>25472.767061708499</v>
      </c>
      <c r="AB66" s="56">
        <v>34958.036158454299</v>
      </c>
      <c r="AC66" s="56">
        <v>55032.000034586199</v>
      </c>
    </row>
    <row r="67" spans="2:29" ht="15" x14ac:dyDescent="0.25">
      <c r="B67" s="55" t="s">
        <v>176</v>
      </c>
      <c r="C67" s="55" t="s">
        <v>163</v>
      </c>
      <c r="D67" s="55" t="s">
        <v>125</v>
      </c>
      <c r="E67" s="55" t="s">
        <v>99</v>
      </c>
      <c r="F67" s="58">
        <v>59.855808289597398</v>
      </c>
      <c r="G67" s="58">
        <v>2729.6706697613999</v>
      </c>
      <c r="H67" s="59">
        <v>0</v>
      </c>
      <c r="I67" s="59">
        <v>0</v>
      </c>
      <c r="J67" s="59">
        <v>0</v>
      </c>
      <c r="K67" s="59">
        <v>0</v>
      </c>
      <c r="L67" s="59">
        <v>0</v>
      </c>
      <c r="M67" s="59">
        <v>0</v>
      </c>
      <c r="N67" s="58">
        <v>83.806332221968304</v>
      </c>
      <c r="O67" s="58">
        <v>705.75002354842104</v>
      </c>
      <c r="P67" s="58">
        <v>1037.4033928802601</v>
      </c>
      <c r="Q67" s="58">
        <v>3344.14102766932</v>
      </c>
      <c r="R67" s="58">
        <v>6994.2920982408896</v>
      </c>
      <c r="S67" s="59">
        <v>0</v>
      </c>
      <c r="T67" s="59">
        <v>0</v>
      </c>
      <c r="U67" s="59">
        <v>0</v>
      </c>
      <c r="V67" s="59">
        <v>0</v>
      </c>
      <c r="W67" s="59">
        <v>0</v>
      </c>
      <c r="X67" s="59">
        <v>0</v>
      </c>
      <c r="Y67" s="58">
        <v>83.806332221968304</v>
      </c>
      <c r="Z67" s="58">
        <v>705.75002354842104</v>
      </c>
      <c r="AA67" s="58">
        <v>1037.4033928802601</v>
      </c>
      <c r="AB67" s="58">
        <v>3344.14102766932</v>
      </c>
      <c r="AC67" s="58">
        <v>6994.2920982408896</v>
      </c>
    </row>
    <row r="68" spans="2:29" ht="15" x14ac:dyDescent="0.25">
      <c r="B68" s="54" t="s">
        <v>177</v>
      </c>
      <c r="C68" s="54" t="s">
        <v>163</v>
      </c>
      <c r="D68" s="54" t="s">
        <v>127</v>
      </c>
      <c r="E68" s="54" t="s">
        <v>99</v>
      </c>
      <c r="F68" s="57">
        <v>64601.917187517502</v>
      </c>
      <c r="G68" s="56">
        <v>237074.60908116499</v>
      </c>
      <c r="H68" s="56">
        <v>10329.4451617829</v>
      </c>
      <c r="I68" s="56">
        <v>62926.293313478403</v>
      </c>
      <c r="J68" s="56">
        <v>136756.85971884601</v>
      </c>
      <c r="K68" s="56">
        <v>269425.78998481098</v>
      </c>
      <c r="L68" s="56">
        <v>318218.92209883698</v>
      </c>
      <c r="M68" s="56">
        <v>564184.833410174</v>
      </c>
      <c r="N68" s="56">
        <v>909154.45808823104</v>
      </c>
      <c r="O68" s="56">
        <v>1256987.2174021399</v>
      </c>
      <c r="P68" s="56">
        <v>1494221.26874059</v>
      </c>
      <c r="Q68" s="56">
        <v>2066240.38289711</v>
      </c>
      <c r="R68" s="56">
        <v>2520919.40253923</v>
      </c>
      <c r="S68" s="56">
        <v>7460.4818644367897</v>
      </c>
      <c r="T68" s="56">
        <v>48117.509354777801</v>
      </c>
      <c r="U68" s="56">
        <v>112039.49778282001</v>
      </c>
      <c r="V68" s="56">
        <v>236088.57856843399</v>
      </c>
      <c r="W68" s="56">
        <v>287405.29412455502</v>
      </c>
      <c r="X68" s="56">
        <v>501034.00343105302</v>
      </c>
      <c r="Y68" s="56">
        <v>847434.91592250997</v>
      </c>
      <c r="Z68" s="56">
        <v>1233960.8424114201</v>
      </c>
      <c r="AA68" s="56">
        <v>1439543.61733497</v>
      </c>
      <c r="AB68" s="57">
        <v>1991748.1536611801</v>
      </c>
      <c r="AC68" s="56">
        <v>2360463.4712994499</v>
      </c>
    </row>
    <row r="69" spans="2:29" ht="15" x14ac:dyDescent="0.25">
      <c r="B69" s="55" t="s">
        <v>178</v>
      </c>
      <c r="C69" s="55" t="s">
        <v>163</v>
      </c>
      <c r="D69" s="55" t="s">
        <v>129</v>
      </c>
      <c r="E69" s="55" t="s">
        <v>99</v>
      </c>
      <c r="F69" s="58">
        <v>115.43426956885899</v>
      </c>
      <c r="G69" s="58">
        <v>2011.80693852179</v>
      </c>
      <c r="H69" s="59">
        <v>0</v>
      </c>
      <c r="I69" s="59">
        <v>0</v>
      </c>
      <c r="J69" s="59">
        <v>0</v>
      </c>
      <c r="K69" s="58">
        <v>52.944057304069197</v>
      </c>
      <c r="L69" s="59">
        <v>131.10982667841199</v>
      </c>
      <c r="M69" s="58">
        <v>775.00538533317297</v>
      </c>
      <c r="N69" s="58">
        <v>2051.8570449785998</v>
      </c>
      <c r="O69" s="58">
        <v>3775.7207657977801</v>
      </c>
      <c r="P69" s="58">
        <v>4800.7527909212004</v>
      </c>
      <c r="Q69" s="58">
        <v>8493.9386555829096</v>
      </c>
      <c r="R69" s="58">
        <v>19200.4251481621</v>
      </c>
      <c r="S69" s="59">
        <v>0</v>
      </c>
      <c r="T69" s="59">
        <v>0</v>
      </c>
      <c r="U69" s="59">
        <v>0</v>
      </c>
      <c r="V69" s="58">
        <v>52.944057304069197</v>
      </c>
      <c r="W69" s="59">
        <v>131.10982667841199</v>
      </c>
      <c r="X69" s="58">
        <v>735.48772320016997</v>
      </c>
      <c r="Y69" s="58">
        <v>1925.70053844838</v>
      </c>
      <c r="Z69" s="58">
        <v>3760.0207215143801</v>
      </c>
      <c r="AA69" s="58">
        <v>4800.7527909212004</v>
      </c>
      <c r="AB69" s="59">
        <v>8336.3213188956106</v>
      </c>
      <c r="AC69" s="58">
        <v>19096.745607954999</v>
      </c>
    </row>
    <row r="70" spans="2:29" ht="15" x14ac:dyDescent="0.25">
      <c r="B70" s="54" t="s">
        <v>179</v>
      </c>
      <c r="C70" s="54" t="s">
        <v>180</v>
      </c>
      <c r="D70" s="54" t="s">
        <v>181</v>
      </c>
      <c r="E70" s="54" t="s">
        <v>99</v>
      </c>
      <c r="F70" s="56">
        <v>57425.527428192203</v>
      </c>
      <c r="G70" s="56">
        <v>105923.273427801</v>
      </c>
      <c r="H70" s="56">
        <v>18437.366314439401</v>
      </c>
      <c r="I70" s="57">
        <v>91752.3064054961</v>
      </c>
      <c r="J70" s="56">
        <v>152740.85099161501</v>
      </c>
      <c r="K70" s="56">
        <v>224720.17430799999</v>
      </c>
      <c r="L70" s="56">
        <v>255018.583059436</v>
      </c>
      <c r="M70" s="56">
        <v>358375.81876962399</v>
      </c>
      <c r="N70" s="56">
        <v>470883.77859322698</v>
      </c>
      <c r="O70" s="57">
        <v>594218.97672796994</v>
      </c>
      <c r="P70" s="56">
        <v>643120.24920978898</v>
      </c>
      <c r="Q70" s="56">
        <v>821819.95288445801</v>
      </c>
      <c r="R70" s="56">
        <v>1272805.0675528001</v>
      </c>
      <c r="S70" s="56">
        <v>15313.1243757335</v>
      </c>
      <c r="T70" s="56">
        <v>82865.871857157297</v>
      </c>
      <c r="U70" s="56">
        <v>90196.815641185705</v>
      </c>
      <c r="V70" s="56">
        <v>115497.76858556599</v>
      </c>
      <c r="W70" s="56">
        <v>137329.46748589599</v>
      </c>
      <c r="X70" s="56">
        <v>245215.14257028399</v>
      </c>
      <c r="Y70" s="56">
        <v>355438.26641800499</v>
      </c>
      <c r="Z70" s="56">
        <v>382385.25097210897</v>
      </c>
      <c r="AA70" s="56">
        <v>409956.93982976401</v>
      </c>
      <c r="AB70" s="57">
        <v>537866.57746463001</v>
      </c>
      <c r="AC70" s="56">
        <v>768871.32523882296</v>
      </c>
    </row>
    <row r="71" spans="2:29" ht="15" x14ac:dyDescent="0.25">
      <c r="B71" s="55" t="s">
        <v>182</v>
      </c>
      <c r="C71" s="55" t="s">
        <v>180</v>
      </c>
      <c r="D71" s="55" t="s">
        <v>98</v>
      </c>
      <c r="E71" s="55" t="s">
        <v>99</v>
      </c>
      <c r="F71" s="58">
        <v>50207.342994514402</v>
      </c>
      <c r="G71" s="58">
        <v>126857.800112903</v>
      </c>
      <c r="H71" s="58">
        <v>4381.5839875535903</v>
      </c>
      <c r="I71" s="58">
        <v>71655.554799342193</v>
      </c>
      <c r="J71" s="58">
        <v>125339.63259223</v>
      </c>
      <c r="K71" s="58">
        <v>191860.42962668801</v>
      </c>
      <c r="L71" s="58">
        <v>213292.84415275001</v>
      </c>
      <c r="M71" s="58">
        <v>383614.78252765298</v>
      </c>
      <c r="N71" s="58">
        <v>616450.69496825105</v>
      </c>
      <c r="O71" s="58">
        <v>827697.74951407395</v>
      </c>
      <c r="P71" s="58">
        <v>898681.73672162602</v>
      </c>
      <c r="Q71" s="58">
        <v>1193885.8563742801</v>
      </c>
      <c r="R71" s="58">
        <v>1546900.13421911</v>
      </c>
      <c r="S71" s="58">
        <v>3879.2910491982602</v>
      </c>
      <c r="T71" s="58">
        <v>54199.695993440197</v>
      </c>
      <c r="U71" s="58">
        <v>85149.441516036299</v>
      </c>
      <c r="V71" s="58">
        <v>123895.98895671499</v>
      </c>
      <c r="W71" s="58">
        <v>143991.40591734499</v>
      </c>
      <c r="X71" s="58">
        <v>252582.40261861499</v>
      </c>
      <c r="Y71" s="58">
        <v>527188.19485183596</v>
      </c>
      <c r="Z71" s="58">
        <v>704600.83768711996</v>
      </c>
      <c r="AA71" s="58">
        <v>784098.48019422602</v>
      </c>
      <c r="AB71" s="59">
        <v>888394.60063720099</v>
      </c>
      <c r="AC71" s="58">
        <v>1100529.01424763</v>
      </c>
    </row>
    <row r="72" spans="2:29" ht="15" x14ac:dyDescent="0.25">
      <c r="B72" s="54" t="s">
        <v>183</v>
      </c>
      <c r="C72" s="54" t="s">
        <v>180</v>
      </c>
      <c r="D72" s="54" t="s">
        <v>101</v>
      </c>
      <c r="E72" s="54" t="s">
        <v>99</v>
      </c>
      <c r="F72" s="56">
        <v>2550.6020436237</v>
      </c>
      <c r="G72" s="56">
        <v>4778.1882053436702</v>
      </c>
      <c r="H72" s="56">
        <v>12.876698599997599</v>
      </c>
      <c r="I72" s="56">
        <v>4036.7847802077099</v>
      </c>
      <c r="J72" s="56">
        <v>7636.33056999572</v>
      </c>
      <c r="K72" s="56">
        <v>10827.741655669401</v>
      </c>
      <c r="L72" s="56">
        <v>11496.476543050299</v>
      </c>
      <c r="M72" s="56">
        <v>15108.4431923175</v>
      </c>
      <c r="N72" s="56">
        <v>20523.631638039202</v>
      </c>
      <c r="O72" s="56">
        <v>26926.921871927101</v>
      </c>
      <c r="P72" s="56">
        <v>28403.849477359901</v>
      </c>
      <c r="Q72" s="56">
        <v>39023.150000946101</v>
      </c>
      <c r="R72" s="56">
        <v>51326.120285874596</v>
      </c>
      <c r="S72" s="56">
        <v>12.876698599997599</v>
      </c>
      <c r="T72" s="56">
        <v>4016.5581483517299</v>
      </c>
      <c r="U72" s="56">
        <v>5696.9535254868797</v>
      </c>
      <c r="V72" s="57">
        <v>5779.4747077993397</v>
      </c>
      <c r="W72" s="56">
        <v>7827.3736173654597</v>
      </c>
      <c r="X72" s="56">
        <v>10889.536547841601</v>
      </c>
      <c r="Y72" s="56">
        <v>14850.690759617501</v>
      </c>
      <c r="Z72" s="56">
        <v>20025.394438110001</v>
      </c>
      <c r="AA72" s="56">
        <v>20141.462282697699</v>
      </c>
      <c r="AB72" s="56">
        <v>26945.675793642698</v>
      </c>
      <c r="AC72" s="57">
        <v>36691.2506180372</v>
      </c>
    </row>
    <row r="73" spans="2:29" ht="15" x14ac:dyDescent="0.25">
      <c r="B73" s="55" t="s">
        <v>184</v>
      </c>
      <c r="C73" s="55" t="s">
        <v>180</v>
      </c>
      <c r="D73" s="55" t="s">
        <v>103</v>
      </c>
      <c r="E73" s="55" t="s">
        <v>99</v>
      </c>
      <c r="F73" s="58">
        <v>1416.1984746580199</v>
      </c>
      <c r="G73" s="58">
        <v>3608.38422949705</v>
      </c>
      <c r="H73" s="59">
        <v>0</v>
      </c>
      <c r="I73" s="58">
        <v>2459.4231253337002</v>
      </c>
      <c r="J73" s="58">
        <v>4165.14753898661</v>
      </c>
      <c r="K73" s="58">
        <v>6815.58423494003</v>
      </c>
      <c r="L73" s="58">
        <v>7524.3874416824801</v>
      </c>
      <c r="M73" s="58">
        <v>10916.169257178701</v>
      </c>
      <c r="N73" s="58">
        <v>15003.1633021827</v>
      </c>
      <c r="O73" s="58">
        <v>19784.636721839201</v>
      </c>
      <c r="P73" s="58">
        <v>22234.1646602771</v>
      </c>
      <c r="Q73" s="58">
        <v>28987.9272837524</v>
      </c>
      <c r="R73" s="58">
        <v>42012.063068978197</v>
      </c>
      <c r="S73" s="59">
        <v>0</v>
      </c>
      <c r="T73" s="58">
        <v>2444.85609415933</v>
      </c>
      <c r="U73" s="58">
        <v>3596.8852129130901</v>
      </c>
      <c r="V73" s="58">
        <v>5094.7924089082599</v>
      </c>
      <c r="W73" s="58">
        <v>5152.7525070489901</v>
      </c>
      <c r="X73" s="59">
        <v>7541.6557824616502</v>
      </c>
      <c r="Y73" s="58">
        <v>10701.914119371801</v>
      </c>
      <c r="Z73" s="58">
        <v>15385.9654339306</v>
      </c>
      <c r="AA73" s="58">
        <v>17307.9178704269</v>
      </c>
      <c r="AB73" s="58">
        <v>22041.741505251499</v>
      </c>
      <c r="AC73" s="58">
        <v>35277.223288973</v>
      </c>
    </row>
    <row r="74" spans="2:29" ht="15" x14ac:dyDescent="0.25">
      <c r="B74" s="54" t="s">
        <v>185</v>
      </c>
      <c r="C74" s="54" t="s">
        <v>180</v>
      </c>
      <c r="D74" s="54" t="s">
        <v>105</v>
      </c>
      <c r="E74" s="54" t="s">
        <v>99</v>
      </c>
      <c r="F74" s="56">
        <v>140.894606507661</v>
      </c>
      <c r="G74" s="56">
        <v>246.99943059983701</v>
      </c>
      <c r="H74" s="57">
        <v>0</v>
      </c>
      <c r="I74" s="56">
        <v>241.846692414085</v>
      </c>
      <c r="J74" s="56">
        <v>411.74829260111898</v>
      </c>
      <c r="K74" s="56">
        <v>564.62844377222598</v>
      </c>
      <c r="L74" s="56">
        <v>613.45056367706502</v>
      </c>
      <c r="M74" s="56">
        <v>832.39952720912402</v>
      </c>
      <c r="N74" s="57">
        <v>1072.0259657279801</v>
      </c>
      <c r="O74" s="56">
        <v>1360.68689549637</v>
      </c>
      <c r="P74" s="56">
        <v>1440.1893923643099</v>
      </c>
      <c r="Q74" s="56">
        <v>1899.3949432516499</v>
      </c>
      <c r="R74" s="56">
        <v>2579.23729437566</v>
      </c>
      <c r="S74" s="57">
        <v>0</v>
      </c>
      <c r="T74" s="56">
        <v>210.28415571747999</v>
      </c>
      <c r="U74" s="56">
        <v>295.14756029190102</v>
      </c>
      <c r="V74" s="56">
        <v>313.75266052919</v>
      </c>
      <c r="W74" s="56">
        <v>402.14236175351402</v>
      </c>
      <c r="X74" s="56">
        <v>546.22868591212705</v>
      </c>
      <c r="Y74" s="57">
        <v>741.70577534601398</v>
      </c>
      <c r="Z74" s="56">
        <v>976.347436542639</v>
      </c>
      <c r="AA74" s="56">
        <v>995.23289562188199</v>
      </c>
      <c r="AB74" s="56">
        <v>1359.14474884163</v>
      </c>
      <c r="AC74" s="56">
        <v>1824.9431115904899</v>
      </c>
    </row>
    <row r="75" spans="2:29" ht="15" x14ac:dyDescent="0.25">
      <c r="B75" s="55" t="s">
        <v>186</v>
      </c>
      <c r="C75" s="55" t="s">
        <v>180</v>
      </c>
      <c r="D75" s="55" t="s">
        <v>107</v>
      </c>
      <c r="E75" s="55" t="s">
        <v>99</v>
      </c>
      <c r="F75" s="58">
        <v>462.830666922234</v>
      </c>
      <c r="G75" s="58">
        <v>871.24340371824201</v>
      </c>
      <c r="H75" s="59">
        <v>0</v>
      </c>
      <c r="I75" s="58">
        <v>788.92435562456603</v>
      </c>
      <c r="J75" s="58">
        <v>1391.3945116213999</v>
      </c>
      <c r="K75" s="58">
        <v>1965.56462511723</v>
      </c>
      <c r="L75" s="58">
        <v>2137.79426634428</v>
      </c>
      <c r="M75" s="58">
        <v>2866.1574757466501</v>
      </c>
      <c r="N75" s="58">
        <v>3838.2784152559002</v>
      </c>
      <c r="O75" s="58">
        <v>4869.96936099704</v>
      </c>
      <c r="P75" s="58">
        <v>5298.41855270612</v>
      </c>
      <c r="Q75" s="58">
        <v>6811.5998283879899</v>
      </c>
      <c r="R75" s="58">
        <v>9365.7437475462193</v>
      </c>
      <c r="S75" s="59">
        <v>0</v>
      </c>
      <c r="T75" s="58">
        <v>737.77071980938001</v>
      </c>
      <c r="U75" s="58">
        <v>1025.1256577177001</v>
      </c>
      <c r="V75" s="58">
        <v>1275.26708406681</v>
      </c>
      <c r="W75" s="58">
        <v>1393.47413906106</v>
      </c>
      <c r="X75" s="58">
        <v>1877.2228387482201</v>
      </c>
      <c r="Y75" s="58">
        <v>2491.0367492124301</v>
      </c>
      <c r="Z75" s="58">
        <v>3480.1687796848</v>
      </c>
      <c r="AA75" s="58">
        <v>3743.5522826323199</v>
      </c>
      <c r="AB75" s="58">
        <v>5490.8528149724598</v>
      </c>
      <c r="AC75" s="59">
        <v>7556.4841071106202</v>
      </c>
    </row>
    <row r="76" spans="2:29" ht="15" x14ac:dyDescent="0.25">
      <c r="B76" s="54" t="s">
        <v>187</v>
      </c>
      <c r="C76" s="54" t="s">
        <v>180</v>
      </c>
      <c r="D76" s="54" t="s">
        <v>109</v>
      </c>
      <c r="E76" s="54" t="s">
        <v>99</v>
      </c>
      <c r="F76" s="56">
        <v>589.06416818466698</v>
      </c>
      <c r="G76" s="56">
        <v>1889.1063547347601</v>
      </c>
      <c r="H76" s="56">
        <v>14.5684498873929</v>
      </c>
      <c r="I76" s="56">
        <v>723.43236604405899</v>
      </c>
      <c r="J76" s="56">
        <v>1323.5751522497401</v>
      </c>
      <c r="K76" s="56">
        <v>2025.8772280551</v>
      </c>
      <c r="L76" s="56">
        <v>2260.1306447916299</v>
      </c>
      <c r="M76" s="56">
        <v>3672.4374247397</v>
      </c>
      <c r="N76" s="56">
        <v>11045.0458295853</v>
      </c>
      <c r="O76" s="56">
        <v>13322.3367636125</v>
      </c>
      <c r="P76" s="56">
        <v>14366.659441883599</v>
      </c>
      <c r="Q76" s="56">
        <v>19925.7995051328</v>
      </c>
      <c r="R76" s="56">
        <v>26088.0174831476</v>
      </c>
      <c r="S76" s="56">
        <v>11.365446894290899</v>
      </c>
      <c r="T76" s="56">
        <v>643.98731214392399</v>
      </c>
      <c r="U76" s="56">
        <v>921.68455876868404</v>
      </c>
      <c r="V76" s="56">
        <v>1270.32164392051</v>
      </c>
      <c r="W76" s="56">
        <v>1389.55840206775</v>
      </c>
      <c r="X76" s="56">
        <v>2500.8884669515301</v>
      </c>
      <c r="Y76" s="56">
        <v>10648.219069672001</v>
      </c>
      <c r="Z76" s="56">
        <v>12133.079273424701</v>
      </c>
      <c r="AA76" s="56">
        <v>12540.409368774301</v>
      </c>
      <c r="AB76" s="56">
        <v>14951.148952436401</v>
      </c>
      <c r="AC76" s="56">
        <v>18662.794100367701</v>
      </c>
    </row>
    <row r="77" spans="2:29" ht="15" x14ac:dyDescent="0.25">
      <c r="B77" s="55" t="s">
        <v>188</v>
      </c>
      <c r="C77" s="55" t="s">
        <v>180</v>
      </c>
      <c r="D77" s="55" t="s">
        <v>111</v>
      </c>
      <c r="E77" s="55" t="s">
        <v>99</v>
      </c>
      <c r="F77" s="58">
        <v>1422.9032512478</v>
      </c>
      <c r="G77" s="58">
        <v>2912.35894579143</v>
      </c>
      <c r="H77" s="59">
        <v>0</v>
      </c>
      <c r="I77" s="58">
        <v>2299.17495823123</v>
      </c>
      <c r="J77" s="58">
        <v>4039.57898464768</v>
      </c>
      <c r="K77" s="58">
        <v>5610.9201824212296</v>
      </c>
      <c r="L77" s="58">
        <v>6180.2872113130597</v>
      </c>
      <c r="M77" s="59">
        <v>8276.0250681818197</v>
      </c>
      <c r="N77" s="58">
        <v>11102.773805025799</v>
      </c>
      <c r="O77" s="58">
        <v>15461.931066080901</v>
      </c>
      <c r="P77" s="58">
        <v>18559.2710008719</v>
      </c>
      <c r="Q77" s="58">
        <v>26912.4474350409</v>
      </c>
      <c r="R77" s="58">
        <v>35357.0656506956</v>
      </c>
      <c r="S77" s="59">
        <v>0</v>
      </c>
      <c r="T77" s="58">
        <v>2057.0986523327601</v>
      </c>
      <c r="U77" s="58">
        <v>2909.2116081819399</v>
      </c>
      <c r="V77" s="58">
        <v>3110.5613519513599</v>
      </c>
      <c r="W77" s="58">
        <v>4038.92370571216</v>
      </c>
      <c r="X77" s="58">
        <v>5456.8172048542901</v>
      </c>
      <c r="Y77" s="58">
        <v>7684.4138019800503</v>
      </c>
      <c r="Z77" s="58">
        <v>10267.1219029969</v>
      </c>
      <c r="AA77" s="58">
        <v>13645.819521736799</v>
      </c>
      <c r="AB77" s="58">
        <v>22946.908993962199</v>
      </c>
      <c r="AC77" s="58">
        <v>30636.009574888201</v>
      </c>
    </row>
    <row r="78" spans="2:29" ht="15" x14ac:dyDescent="0.25">
      <c r="B78" s="54" t="s">
        <v>189</v>
      </c>
      <c r="C78" s="54" t="s">
        <v>180</v>
      </c>
      <c r="D78" s="54" t="s">
        <v>113</v>
      </c>
      <c r="E78" s="54" t="s">
        <v>99</v>
      </c>
      <c r="F78" s="56">
        <v>29.618690952652301</v>
      </c>
      <c r="G78" s="56">
        <v>181.001321540942</v>
      </c>
      <c r="H78" s="57">
        <v>0</v>
      </c>
      <c r="I78" s="57">
        <v>16.768476113950999</v>
      </c>
      <c r="J78" s="56">
        <v>32.287775954738301</v>
      </c>
      <c r="K78" s="57">
        <v>45.738232233558698</v>
      </c>
      <c r="L78" s="56">
        <v>55.872173583617098</v>
      </c>
      <c r="M78" s="56">
        <v>101.803227135048</v>
      </c>
      <c r="N78" s="56">
        <v>851.83425705276602</v>
      </c>
      <c r="O78" s="56">
        <v>1314.74943093411</v>
      </c>
      <c r="P78" s="56">
        <v>1355.47895618093</v>
      </c>
      <c r="Q78" s="56">
        <v>1779.56929704759</v>
      </c>
      <c r="R78" s="56">
        <v>2341.3458132597598</v>
      </c>
      <c r="S78" s="57">
        <v>0</v>
      </c>
      <c r="T78" s="57">
        <v>16.768476113950999</v>
      </c>
      <c r="U78" s="56">
        <v>23.320348777259301</v>
      </c>
      <c r="V78" s="56">
        <v>32.287775954738301</v>
      </c>
      <c r="W78" s="56">
        <v>32.287775954738301</v>
      </c>
      <c r="X78" s="56">
        <v>63.068248670217002</v>
      </c>
      <c r="Y78" s="56">
        <v>819.10051880007597</v>
      </c>
      <c r="Z78" s="56">
        <v>1303.58182025625</v>
      </c>
      <c r="AA78" s="56">
        <v>1325.5379486572999</v>
      </c>
      <c r="AB78" s="56">
        <v>1762.3390658783901</v>
      </c>
      <c r="AC78" s="56">
        <v>2261.1681634773399</v>
      </c>
    </row>
    <row r="79" spans="2:29" ht="15" x14ac:dyDescent="0.25">
      <c r="B79" s="55" t="s">
        <v>190</v>
      </c>
      <c r="C79" s="55" t="s">
        <v>180</v>
      </c>
      <c r="D79" s="55" t="s">
        <v>127</v>
      </c>
      <c r="E79" s="55" t="s">
        <v>99</v>
      </c>
      <c r="F79" s="58">
        <v>530458.69915865804</v>
      </c>
      <c r="G79" s="58">
        <v>1277958.2444307399</v>
      </c>
      <c r="H79" s="58">
        <v>172320.040899279</v>
      </c>
      <c r="I79" s="58">
        <v>707524.00670489296</v>
      </c>
      <c r="J79" s="58">
        <v>1278438.2203597799</v>
      </c>
      <c r="K79" s="58">
        <v>2075849.5616510999</v>
      </c>
      <c r="L79" s="58">
        <v>2419024.7908757301</v>
      </c>
      <c r="M79" s="58">
        <v>3926776.7108571101</v>
      </c>
      <c r="N79" s="58">
        <v>5965631.5961416904</v>
      </c>
      <c r="O79" s="58">
        <v>8337525.6259729099</v>
      </c>
      <c r="P79" s="58">
        <v>9001505.6411179993</v>
      </c>
      <c r="Q79" s="58">
        <v>11774570.276316499</v>
      </c>
      <c r="R79" s="58">
        <v>16229743.7856334</v>
      </c>
      <c r="S79" s="58">
        <v>149800.82392125399</v>
      </c>
      <c r="T79" s="58">
        <v>466129.49243296601</v>
      </c>
      <c r="U79" s="59">
        <v>828419.55047483405</v>
      </c>
      <c r="V79" s="58">
        <v>1379485.4721162301</v>
      </c>
      <c r="W79" s="58">
        <v>1629583.96523596</v>
      </c>
      <c r="X79" s="58">
        <v>2796978.8358642799</v>
      </c>
      <c r="Y79" s="58">
        <v>4576079.22136732</v>
      </c>
      <c r="Z79" s="58">
        <v>7149813.3962904997</v>
      </c>
      <c r="AA79" s="58">
        <v>7648631.8929166403</v>
      </c>
      <c r="AB79" s="58">
        <v>9351258.4408000596</v>
      </c>
      <c r="AC79" s="58">
        <v>11074656.073340399</v>
      </c>
    </row>
    <row r="80" spans="2:29" ht="15" x14ac:dyDescent="0.25">
      <c r="B80" s="54" t="s">
        <v>191</v>
      </c>
      <c r="C80" s="54" t="s">
        <v>180</v>
      </c>
      <c r="D80" s="54" t="s">
        <v>129</v>
      </c>
      <c r="E80" s="54" t="s">
        <v>99</v>
      </c>
      <c r="F80" s="57">
        <v>9375.7676822694903</v>
      </c>
      <c r="G80" s="56">
        <v>17756.261240670701</v>
      </c>
      <c r="H80" s="56">
        <v>0.361563279324632</v>
      </c>
      <c r="I80" s="56">
        <v>15232.256757274999</v>
      </c>
      <c r="J80" s="56">
        <v>27746.975347423999</v>
      </c>
      <c r="K80" s="56">
        <v>39037.9158063672</v>
      </c>
      <c r="L80" s="56">
        <v>42030.5974196444</v>
      </c>
      <c r="M80" s="56">
        <v>55907.792324695998</v>
      </c>
      <c r="N80" s="56">
        <v>74847.764631750106</v>
      </c>
      <c r="O80" s="56">
        <v>98858.605758799298</v>
      </c>
      <c r="P80" s="56">
        <v>104302.136385326</v>
      </c>
      <c r="Q80" s="56">
        <v>142931.09401440099</v>
      </c>
      <c r="R80" s="56">
        <v>198581.01299049801</v>
      </c>
      <c r="S80" s="56">
        <v>0.361563279324632</v>
      </c>
      <c r="T80" s="56">
        <v>14171.299482029201</v>
      </c>
      <c r="U80" s="56">
        <v>20539.4208036655</v>
      </c>
      <c r="V80" s="56">
        <v>23142.725744893702</v>
      </c>
      <c r="W80" s="56">
        <v>28029.680796252</v>
      </c>
      <c r="X80" s="56">
        <v>38895.174024254098</v>
      </c>
      <c r="Y80" s="56">
        <v>53402.093702938502</v>
      </c>
      <c r="Z80" s="56">
        <v>72768.146114179399</v>
      </c>
      <c r="AA80" s="56">
        <v>74333.263083143203</v>
      </c>
      <c r="AB80" s="56">
        <v>102442.740751627</v>
      </c>
      <c r="AC80" s="56">
        <v>145051.649697307</v>
      </c>
    </row>
    <row r="81" spans="2:29" ht="15" x14ac:dyDescent="0.25">
      <c r="B81" s="55" t="s">
        <v>192</v>
      </c>
      <c r="C81" s="55" t="s">
        <v>193</v>
      </c>
      <c r="D81" s="55" t="s">
        <v>181</v>
      </c>
      <c r="E81" s="55" t="s">
        <v>99</v>
      </c>
      <c r="F81" s="58">
        <v>7733.3439454844702</v>
      </c>
      <c r="G81" s="58">
        <v>33674.534882883301</v>
      </c>
      <c r="H81" s="58">
        <v>501.69243952623498</v>
      </c>
      <c r="I81" s="58">
        <v>4581.47066135148</v>
      </c>
      <c r="J81" s="58">
        <v>13420.911990258101</v>
      </c>
      <c r="K81" s="58">
        <v>33328.167420505997</v>
      </c>
      <c r="L81" s="59">
        <v>41264.628328517399</v>
      </c>
      <c r="M81" s="58">
        <v>82656.817809092099</v>
      </c>
      <c r="N81" s="58">
        <v>146393.632951145</v>
      </c>
      <c r="O81" s="58">
        <v>226170.872329073</v>
      </c>
      <c r="P81" s="58">
        <v>260649.47767265799</v>
      </c>
      <c r="Q81" s="58">
        <v>345240.63002713199</v>
      </c>
      <c r="R81" s="58">
        <v>448199.37477175798</v>
      </c>
      <c r="S81" s="58">
        <v>357.03639397574602</v>
      </c>
      <c r="T81" s="58">
        <v>3543.1462367739</v>
      </c>
      <c r="U81" s="58">
        <v>11399.886021186299</v>
      </c>
      <c r="V81" s="58">
        <v>29806.870648504799</v>
      </c>
      <c r="W81" s="58">
        <v>36525.9123703117</v>
      </c>
      <c r="X81" s="58">
        <v>74562.363093077205</v>
      </c>
      <c r="Y81" s="58">
        <v>140257.622970255</v>
      </c>
      <c r="Z81" s="58">
        <v>216510.44440229199</v>
      </c>
      <c r="AA81" s="58">
        <v>240461.594146858</v>
      </c>
      <c r="AB81" s="58">
        <v>328390.10998316499</v>
      </c>
      <c r="AC81" s="58">
        <v>430520.82294697798</v>
      </c>
    </row>
    <row r="82" spans="2:29" ht="15" x14ac:dyDescent="0.25">
      <c r="B82" s="54" t="s">
        <v>194</v>
      </c>
      <c r="C82" s="54" t="s">
        <v>193</v>
      </c>
      <c r="D82" s="54" t="s">
        <v>98</v>
      </c>
      <c r="E82" s="54" t="s">
        <v>99</v>
      </c>
      <c r="F82" s="56">
        <v>13671.308827044</v>
      </c>
      <c r="G82" s="56">
        <v>87903.044011557198</v>
      </c>
      <c r="H82" s="56">
        <v>285.59361890120198</v>
      </c>
      <c r="I82" s="56">
        <v>3372.8212238461801</v>
      </c>
      <c r="J82" s="56">
        <v>11694.4956388623</v>
      </c>
      <c r="K82" s="56">
        <v>35552.4835062813</v>
      </c>
      <c r="L82" s="56">
        <v>48984.7542638905</v>
      </c>
      <c r="M82" s="56">
        <v>131575.67339044099</v>
      </c>
      <c r="N82" s="56">
        <v>339061.06326041499</v>
      </c>
      <c r="O82" s="56">
        <v>624260.44705188402</v>
      </c>
      <c r="P82" s="56">
        <v>726996.34630430304</v>
      </c>
      <c r="Q82" s="56">
        <v>987213.28371425997</v>
      </c>
      <c r="R82" s="56">
        <v>1165187.0434584101</v>
      </c>
      <c r="S82" s="56">
        <v>219.88895239001201</v>
      </c>
      <c r="T82" s="56">
        <v>2757.6622783758198</v>
      </c>
      <c r="U82" s="56">
        <v>10327.270892397901</v>
      </c>
      <c r="V82" s="57">
        <v>32710.759659208499</v>
      </c>
      <c r="W82" s="56">
        <v>46019.808431099103</v>
      </c>
      <c r="X82" s="56">
        <v>128111.38255459099</v>
      </c>
      <c r="Y82" s="57">
        <v>329903.61902595102</v>
      </c>
      <c r="Z82" s="56">
        <v>618185.956284713</v>
      </c>
      <c r="AA82" s="56">
        <v>723492.89846778905</v>
      </c>
      <c r="AB82" s="56">
        <v>981485.11330114806</v>
      </c>
      <c r="AC82" s="56">
        <v>1158496.63577731</v>
      </c>
    </row>
    <row r="83" spans="2:29" ht="15" x14ac:dyDescent="0.25">
      <c r="B83" s="55" t="s">
        <v>195</v>
      </c>
      <c r="C83" s="55" t="s">
        <v>193</v>
      </c>
      <c r="D83" s="55" t="s">
        <v>101</v>
      </c>
      <c r="E83" s="55" t="s">
        <v>99</v>
      </c>
      <c r="F83" s="58">
        <v>512.28381216054697</v>
      </c>
      <c r="G83" s="58">
        <v>3851.6131168720399</v>
      </c>
      <c r="H83" s="58">
        <v>5.2103519531623901</v>
      </c>
      <c r="I83" s="58">
        <v>88.852703418628195</v>
      </c>
      <c r="J83" s="58">
        <v>327.90868017663399</v>
      </c>
      <c r="K83" s="58">
        <v>1072.71537532456</v>
      </c>
      <c r="L83" s="58">
        <v>1556.7991343461799</v>
      </c>
      <c r="M83" s="58">
        <v>4729.1614553883601</v>
      </c>
      <c r="N83" s="58">
        <v>12167.490560992799</v>
      </c>
      <c r="O83" s="58">
        <v>23807.3541163478</v>
      </c>
      <c r="P83" s="58">
        <v>31197.960424996902</v>
      </c>
      <c r="Q83" s="58">
        <v>41410.801575621503</v>
      </c>
      <c r="R83" s="58">
        <v>55880.516069179903</v>
      </c>
      <c r="S83" s="58">
        <v>5.2103518306998504</v>
      </c>
      <c r="T83" s="59">
        <v>79.093140573257898</v>
      </c>
      <c r="U83" s="58">
        <v>293.151683498956</v>
      </c>
      <c r="V83" s="58">
        <v>963.84051390833497</v>
      </c>
      <c r="W83" s="58">
        <v>1496.57315330284</v>
      </c>
      <c r="X83" s="58">
        <v>4689.5408545667797</v>
      </c>
      <c r="Y83" s="58">
        <v>12019.849637433501</v>
      </c>
      <c r="Z83" s="58">
        <v>23644.865668914899</v>
      </c>
      <c r="AA83" s="58">
        <v>30781.585919559999</v>
      </c>
      <c r="AB83" s="58">
        <v>41009.9560616366</v>
      </c>
      <c r="AC83" s="58">
        <v>52083.146549434001</v>
      </c>
    </row>
    <row r="84" spans="2:29" ht="15" x14ac:dyDescent="0.25">
      <c r="B84" s="54" t="s">
        <v>196</v>
      </c>
      <c r="C84" s="54" t="s">
        <v>193</v>
      </c>
      <c r="D84" s="54" t="s">
        <v>103</v>
      </c>
      <c r="E84" s="54" t="s">
        <v>99</v>
      </c>
      <c r="F84" s="56">
        <v>498.58357931641098</v>
      </c>
      <c r="G84" s="56">
        <v>2984.8272587929</v>
      </c>
      <c r="H84" s="57">
        <v>0</v>
      </c>
      <c r="I84" s="56">
        <v>77.757030924226896</v>
      </c>
      <c r="J84" s="56">
        <v>432.72920719656798</v>
      </c>
      <c r="K84" s="56">
        <v>1681.7565201114701</v>
      </c>
      <c r="L84" s="56">
        <v>2361.44175780981</v>
      </c>
      <c r="M84" s="56">
        <v>6529.1150140950203</v>
      </c>
      <c r="N84" s="56">
        <v>12231.8346729894</v>
      </c>
      <c r="O84" s="56">
        <v>21737.7510281297</v>
      </c>
      <c r="P84" s="56">
        <v>24451.795934526199</v>
      </c>
      <c r="Q84" s="56">
        <v>30700.011951017099</v>
      </c>
      <c r="R84" s="56">
        <v>41752.724913972197</v>
      </c>
      <c r="S84" s="57">
        <v>0</v>
      </c>
      <c r="T84" s="56">
        <v>70.061168327272995</v>
      </c>
      <c r="U84" s="56">
        <v>403.34888426104197</v>
      </c>
      <c r="V84" s="56">
        <v>1628.0628882494</v>
      </c>
      <c r="W84" s="56">
        <v>2316.02070951424</v>
      </c>
      <c r="X84" s="56">
        <v>6207.80864609936</v>
      </c>
      <c r="Y84" s="56">
        <v>11877.683340100601</v>
      </c>
      <c r="Z84" s="56">
        <v>20298.9042068577</v>
      </c>
      <c r="AA84" s="56">
        <v>23918.613700182199</v>
      </c>
      <c r="AB84" s="56">
        <v>30700.011951017099</v>
      </c>
      <c r="AC84" s="56">
        <v>41169.461207676497</v>
      </c>
    </row>
    <row r="85" spans="2:29" ht="15" x14ac:dyDescent="0.25">
      <c r="B85" s="55" t="s">
        <v>197</v>
      </c>
      <c r="C85" s="55" t="s">
        <v>193</v>
      </c>
      <c r="D85" s="55" t="s">
        <v>105</v>
      </c>
      <c r="E85" s="55" t="s">
        <v>99</v>
      </c>
      <c r="F85" s="59">
        <v>32.133320918948797</v>
      </c>
      <c r="G85" s="58">
        <v>276.85331886983698</v>
      </c>
      <c r="H85" s="59">
        <v>0</v>
      </c>
      <c r="I85" s="59">
        <v>0</v>
      </c>
      <c r="J85" s="59">
        <v>9.5403967877600202</v>
      </c>
      <c r="K85" s="58">
        <v>50.215078949698999</v>
      </c>
      <c r="L85" s="58">
        <v>80.538883820333695</v>
      </c>
      <c r="M85" s="58">
        <v>279.71817650581897</v>
      </c>
      <c r="N85" s="58">
        <v>834.97239037051497</v>
      </c>
      <c r="O85" s="58">
        <v>1680.4051225381199</v>
      </c>
      <c r="P85" s="58">
        <v>2205.4494320301501</v>
      </c>
      <c r="Q85" s="58">
        <v>3029.4035130150701</v>
      </c>
      <c r="R85" s="58">
        <v>4027.65323594949</v>
      </c>
      <c r="S85" s="59">
        <v>0</v>
      </c>
      <c r="T85" s="59">
        <v>0</v>
      </c>
      <c r="U85" s="58">
        <v>9.4800785739503901</v>
      </c>
      <c r="V85" s="58">
        <v>49.773758539552297</v>
      </c>
      <c r="W85" s="58">
        <v>79.873134829652301</v>
      </c>
      <c r="X85" s="58">
        <v>277.97268927357402</v>
      </c>
      <c r="Y85" s="58">
        <v>801.26671331211901</v>
      </c>
      <c r="Z85" s="58">
        <v>1594.92127313524</v>
      </c>
      <c r="AA85" s="58">
        <v>2205.4494320301501</v>
      </c>
      <c r="AB85" s="58">
        <v>3029.4035130150701</v>
      </c>
      <c r="AC85" s="58">
        <v>3815.9592907159599</v>
      </c>
    </row>
    <row r="86" spans="2:29" ht="15" x14ac:dyDescent="0.25">
      <c r="B86" s="54" t="s">
        <v>198</v>
      </c>
      <c r="C86" s="54" t="s">
        <v>193</v>
      </c>
      <c r="D86" s="54" t="s">
        <v>107</v>
      </c>
      <c r="E86" s="54" t="s">
        <v>99</v>
      </c>
      <c r="F86" s="56">
        <v>176.06454749243699</v>
      </c>
      <c r="G86" s="57">
        <v>1467.1270715319199</v>
      </c>
      <c r="H86" s="57">
        <v>0</v>
      </c>
      <c r="I86" s="57">
        <v>0</v>
      </c>
      <c r="J86" s="56">
        <v>56.379254150910597</v>
      </c>
      <c r="K86" s="56">
        <v>287.45477658154999</v>
      </c>
      <c r="L86" s="56">
        <v>463.18182027802101</v>
      </c>
      <c r="M86" s="56">
        <v>1540.9386072260199</v>
      </c>
      <c r="N86" s="56">
        <v>4571.0102680250502</v>
      </c>
      <c r="O86" s="56">
        <v>9319.9914300750006</v>
      </c>
      <c r="P86" s="56">
        <v>11903.057434124799</v>
      </c>
      <c r="Q86" s="57">
        <v>15715.287138723501</v>
      </c>
      <c r="R86" s="56">
        <v>21069.6921602162</v>
      </c>
      <c r="S86" s="57">
        <v>0</v>
      </c>
      <c r="T86" s="57">
        <v>0</v>
      </c>
      <c r="U86" s="56">
        <v>54.468292502792202</v>
      </c>
      <c r="V86" s="56">
        <v>281.392767977034</v>
      </c>
      <c r="W86" s="56">
        <v>451.11695044938602</v>
      </c>
      <c r="X86" s="56">
        <v>1522.52068042734</v>
      </c>
      <c r="Y86" s="57">
        <v>4535.13658435873</v>
      </c>
      <c r="Z86" s="57">
        <v>8951.5349148434107</v>
      </c>
      <c r="AA86" s="56">
        <v>11875.4919047732</v>
      </c>
      <c r="AB86" s="57">
        <v>15715.287138723501</v>
      </c>
      <c r="AC86" s="56">
        <v>20123.330274329001</v>
      </c>
    </row>
    <row r="87" spans="2:29" ht="15" x14ac:dyDescent="0.25">
      <c r="B87" s="55" t="s">
        <v>199</v>
      </c>
      <c r="C87" s="55" t="s">
        <v>193</v>
      </c>
      <c r="D87" s="55" t="s">
        <v>109</v>
      </c>
      <c r="E87" s="55" t="s">
        <v>99</v>
      </c>
      <c r="F87" s="58">
        <v>123.942900429597</v>
      </c>
      <c r="G87" s="58">
        <v>861.53018694291404</v>
      </c>
      <c r="H87" s="58">
        <v>0.67199997816468104</v>
      </c>
      <c r="I87" s="59">
        <v>19.682022828475802</v>
      </c>
      <c r="J87" s="58">
        <v>86.047999925600394</v>
      </c>
      <c r="K87" s="58">
        <v>281.35594418236002</v>
      </c>
      <c r="L87" s="58">
        <v>423.42656736499202</v>
      </c>
      <c r="M87" s="58">
        <v>1220.84626014265</v>
      </c>
      <c r="N87" s="58">
        <v>3261.2726759884599</v>
      </c>
      <c r="O87" s="58">
        <v>6027.3206859185102</v>
      </c>
      <c r="P87" s="58">
        <v>6700.8272509365997</v>
      </c>
      <c r="Q87" s="59">
        <v>9952.2307486773698</v>
      </c>
      <c r="R87" s="58">
        <v>12794.882412818801</v>
      </c>
      <c r="S87" s="58">
        <v>0.67199997816468104</v>
      </c>
      <c r="T87" s="58">
        <v>17.944738182358101</v>
      </c>
      <c r="U87" s="58">
        <v>79.2322233511088</v>
      </c>
      <c r="V87" s="58">
        <v>259.82126836587997</v>
      </c>
      <c r="W87" s="58">
        <v>394.11471661886202</v>
      </c>
      <c r="X87" s="58">
        <v>1218.15642516802</v>
      </c>
      <c r="Y87" s="58">
        <v>3187.0676397259399</v>
      </c>
      <c r="Z87" s="58">
        <v>5944.1052500947198</v>
      </c>
      <c r="AA87" s="58">
        <v>6516.0339376030597</v>
      </c>
      <c r="AB87" s="58">
        <v>9880.0430743310008</v>
      </c>
      <c r="AC87" s="58">
        <v>12740.3034448092</v>
      </c>
    </row>
    <row r="88" spans="2:29" ht="15" x14ac:dyDescent="0.25">
      <c r="B88" s="54" t="s">
        <v>200</v>
      </c>
      <c r="C88" s="54" t="s">
        <v>193</v>
      </c>
      <c r="D88" s="54" t="s">
        <v>111</v>
      </c>
      <c r="E88" s="54" t="s">
        <v>99</v>
      </c>
      <c r="F88" s="56">
        <v>151.61756328423701</v>
      </c>
      <c r="G88" s="56">
        <v>1263.0861209986199</v>
      </c>
      <c r="H88" s="57">
        <v>0</v>
      </c>
      <c r="I88" s="57">
        <v>0</v>
      </c>
      <c r="J88" s="56">
        <v>53.140069622259396</v>
      </c>
      <c r="K88" s="56">
        <v>254.927608182776</v>
      </c>
      <c r="L88" s="56">
        <v>418.43136074063199</v>
      </c>
      <c r="M88" s="56">
        <v>1417.2615722169901</v>
      </c>
      <c r="N88" s="56">
        <v>3824.0899639899799</v>
      </c>
      <c r="O88" s="56">
        <v>7827.3798893890098</v>
      </c>
      <c r="P88" s="56">
        <v>10028.677856222899</v>
      </c>
      <c r="Q88" s="56">
        <v>13715.885301383199</v>
      </c>
      <c r="R88" s="56">
        <v>18353.758062697601</v>
      </c>
      <c r="S88" s="57">
        <v>0</v>
      </c>
      <c r="T88" s="57">
        <v>0</v>
      </c>
      <c r="U88" s="56">
        <v>52.171344583976698</v>
      </c>
      <c r="V88" s="56">
        <v>248.938725285641</v>
      </c>
      <c r="W88" s="56">
        <v>402.97274477572103</v>
      </c>
      <c r="X88" s="56">
        <v>1385.3574771183501</v>
      </c>
      <c r="Y88" s="56">
        <v>3782.7368885371302</v>
      </c>
      <c r="Z88" s="56">
        <v>7551.0894944859701</v>
      </c>
      <c r="AA88" s="56">
        <v>10028.677856222899</v>
      </c>
      <c r="AB88" s="56">
        <v>13641.5081506349</v>
      </c>
      <c r="AC88" s="56">
        <v>17291.3674504316</v>
      </c>
    </row>
    <row r="89" spans="2:29" ht="15" x14ac:dyDescent="0.25">
      <c r="B89" s="55" t="s">
        <v>201</v>
      </c>
      <c r="C89" s="55" t="s">
        <v>193</v>
      </c>
      <c r="D89" s="55" t="s">
        <v>113</v>
      </c>
      <c r="E89" s="55" t="s">
        <v>99</v>
      </c>
      <c r="F89" s="58">
        <v>68.159631565333399</v>
      </c>
      <c r="G89" s="58">
        <v>616.63565775784502</v>
      </c>
      <c r="H89" s="59">
        <v>0</v>
      </c>
      <c r="I89" s="58">
        <v>1.17704060314979</v>
      </c>
      <c r="J89" s="58">
        <v>30.496723035223699</v>
      </c>
      <c r="K89" s="58">
        <v>115.32144031868999</v>
      </c>
      <c r="L89" s="58">
        <v>163.04440331217401</v>
      </c>
      <c r="M89" s="58">
        <v>540.86067365184795</v>
      </c>
      <c r="N89" s="58">
        <v>1362.8673798812199</v>
      </c>
      <c r="O89" s="58">
        <v>3252.3833960442498</v>
      </c>
      <c r="P89" s="58">
        <v>4184.4948046870404</v>
      </c>
      <c r="Q89" s="58">
        <v>7049.9513167813302</v>
      </c>
      <c r="R89" s="58">
        <v>11051.278520674599</v>
      </c>
      <c r="S89" s="59">
        <v>0</v>
      </c>
      <c r="T89" s="58">
        <v>1.17704060314979</v>
      </c>
      <c r="U89" s="58">
        <v>28.115885645596499</v>
      </c>
      <c r="V89" s="59">
        <v>110.436487257417</v>
      </c>
      <c r="W89" s="58">
        <v>157.48911979460499</v>
      </c>
      <c r="X89" s="58">
        <v>517.07023922119299</v>
      </c>
      <c r="Y89" s="58">
        <v>1314.72005640976</v>
      </c>
      <c r="Z89" s="58">
        <v>3252.3833960442498</v>
      </c>
      <c r="AA89" s="58">
        <v>3920.11160564182</v>
      </c>
      <c r="AB89" s="58">
        <v>7049.9513167813302</v>
      </c>
      <c r="AC89" s="58">
        <v>11051.278520674599</v>
      </c>
    </row>
    <row r="90" spans="2:29" ht="15" x14ac:dyDescent="0.25">
      <c r="B90" s="54" t="s">
        <v>202</v>
      </c>
      <c r="C90" s="54" t="s">
        <v>193</v>
      </c>
      <c r="D90" s="54" t="s">
        <v>127</v>
      </c>
      <c r="E90" s="54" t="s">
        <v>99</v>
      </c>
      <c r="F90" s="56">
        <v>222451.66981842701</v>
      </c>
      <c r="G90" s="56">
        <v>1403175.00413677</v>
      </c>
      <c r="H90" s="56">
        <v>12651.4862977988</v>
      </c>
      <c r="I90" s="56">
        <v>93453.486547133594</v>
      </c>
      <c r="J90" s="56">
        <v>286358.03716534702</v>
      </c>
      <c r="K90" s="56">
        <v>701008.00592870405</v>
      </c>
      <c r="L90" s="56">
        <v>908022.123909613</v>
      </c>
      <c r="M90" s="56">
        <v>2087915.6634883999</v>
      </c>
      <c r="N90" s="56">
        <v>3921177.0680392398</v>
      </c>
      <c r="O90" s="56">
        <v>7232630.3437240701</v>
      </c>
      <c r="P90" s="56">
        <v>8528488.5601204596</v>
      </c>
      <c r="Q90" s="56">
        <v>15380961.6170961</v>
      </c>
      <c r="R90" s="56">
        <v>28246835.379877899</v>
      </c>
      <c r="S90" s="56">
        <v>8682.1078930965796</v>
      </c>
      <c r="T90" s="56">
        <v>72742.480010338302</v>
      </c>
      <c r="U90" s="56">
        <v>245100.03457971499</v>
      </c>
      <c r="V90" s="56">
        <v>645299.73745173705</v>
      </c>
      <c r="W90" s="56">
        <v>829019.939665296</v>
      </c>
      <c r="X90" s="56">
        <v>1978021.29679652</v>
      </c>
      <c r="Y90" s="56">
        <v>3773870.4301085202</v>
      </c>
      <c r="Z90" s="56">
        <v>6918759.30413297</v>
      </c>
      <c r="AA90" s="56">
        <v>8221464.0519798202</v>
      </c>
      <c r="AB90" s="56">
        <v>15358656.720770201</v>
      </c>
      <c r="AC90" s="57">
        <v>28206684.315733299</v>
      </c>
    </row>
    <row r="91" spans="2:29" ht="15" x14ac:dyDescent="0.25">
      <c r="B91" s="55" t="s">
        <v>203</v>
      </c>
      <c r="C91" s="55" t="s">
        <v>193</v>
      </c>
      <c r="D91" s="55" t="s">
        <v>129</v>
      </c>
      <c r="E91" s="55" t="s">
        <v>99</v>
      </c>
      <c r="F91" s="58">
        <v>2562.81771172457</v>
      </c>
      <c r="G91" s="58">
        <v>20115.021131678201</v>
      </c>
      <c r="H91" s="58">
        <v>1.3368348250266</v>
      </c>
      <c r="I91" s="58">
        <v>134.33892983449101</v>
      </c>
      <c r="J91" s="58">
        <v>1238.5948526766499</v>
      </c>
      <c r="K91" s="58">
        <v>5016.4787791358804</v>
      </c>
      <c r="L91" s="58">
        <v>7706.8312182354002</v>
      </c>
      <c r="M91" s="58">
        <v>24113.162781932599</v>
      </c>
      <c r="N91" s="58">
        <v>66412.1584870074</v>
      </c>
      <c r="O91" s="58">
        <v>124891.63745494399</v>
      </c>
      <c r="P91" s="58">
        <v>162779.70470789599</v>
      </c>
      <c r="Q91" s="58">
        <v>222051.71145110001</v>
      </c>
      <c r="R91" s="58">
        <v>292240.44495018799</v>
      </c>
      <c r="S91" s="58">
        <v>1.11402901412057</v>
      </c>
      <c r="T91" s="58">
        <v>120.489555081761</v>
      </c>
      <c r="U91" s="58">
        <v>1157.51223865732</v>
      </c>
      <c r="V91" s="58">
        <v>4703.4336506616301</v>
      </c>
      <c r="W91" s="58">
        <v>7626.7795190729203</v>
      </c>
      <c r="X91" s="58">
        <v>24021.335113257501</v>
      </c>
      <c r="Y91" s="59">
        <v>66345.027450358102</v>
      </c>
      <c r="Z91" s="59">
        <v>119941.784307261</v>
      </c>
      <c r="AA91" s="58">
        <v>160782.08607641401</v>
      </c>
      <c r="AB91" s="58">
        <v>222049.92900463199</v>
      </c>
      <c r="AC91" s="59">
        <v>272246.04165369202</v>
      </c>
    </row>
    <row r="92" spans="2:29" ht="15" x14ac:dyDescent="0.25">
      <c r="B92" s="54" t="s">
        <v>204</v>
      </c>
      <c r="C92" s="54" t="s">
        <v>205</v>
      </c>
      <c r="D92" s="54" t="s">
        <v>181</v>
      </c>
      <c r="E92" s="54" t="s">
        <v>99</v>
      </c>
      <c r="F92" s="56">
        <v>10638.964459175</v>
      </c>
      <c r="G92" s="56">
        <v>37709.036500463197</v>
      </c>
      <c r="H92" s="56">
        <v>1831.2405752551099</v>
      </c>
      <c r="I92" s="56">
        <v>10431.193485797599</v>
      </c>
      <c r="J92" s="56">
        <v>22221.540333695699</v>
      </c>
      <c r="K92" s="56">
        <v>41298.921181707999</v>
      </c>
      <c r="L92" s="56">
        <v>49114.083392259301</v>
      </c>
      <c r="M92" s="56">
        <v>88049.353075743697</v>
      </c>
      <c r="N92" s="56">
        <v>155338.76352198599</v>
      </c>
      <c r="O92" s="56">
        <v>239785.788887142</v>
      </c>
      <c r="P92" s="56">
        <v>287108.91745917598</v>
      </c>
      <c r="Q92" s="56">
        <v>427118.34768885601</v>
      </c>
      <c r="R92" s="56">
        <v>530075.99264276098</v>
      </c>
      <c r="S92" s="56">
        <v>1308.3965973295301</v>
      </c>
      <c r="T92" s="57">
        <v>7726.6689537106704</v>
      </c>
      <c r="U92" s="56">
        <v>16793.387937346801</v>
      </c>
      <c r="V92" s="56">
        <v>34125.051020165498</v>
      </c>
      <c r="W92" s="56">
        <v>40959.707463368402</v>
      </c>
      <c r="X92" s="56">
        <v>79246.850486397801</v>
      </c>
      <c r="Y92" s="56">
        <v>144270.40672670901</v>
      </c>
      <c r="Z92" s="56">
        <v>223409.656438871</v>
      </c>
      <c r="AA92" s="56">
        <v>267165.50105606101</v>
      </c>
      <c r="AB92" s="56">
        <v>364124.24704938103</v>
      </c>
      <c r="AC92" s="56">
        <v>529198.47295704298</v>
      </c>
    </row>
    <row r="93" spans="2:29" ht="15" x14ac:dyDescent="0.25">
      <c r="B93" s="55" t="s">
        <v>206</v>
      </c>
      <c r="C93" s="55" t="s">
        <v>205</v>
      </c>
      <c r="D93" s="55" t="s">
        <v>98</v>
      </c>
      <c r="E93" s="55" t="s">
        <v>99</v>
      </c>
      <c r="F93" s="58">
        <v>16132.535039476499</v>
      </c>
      <c r="G93" s="58">
        <v>88627.712706975304</v>
      </c>
      <c r="H93" s="58">
        <v>964.03676841837603</v>
      </c>
      <c r="I93" s="58">
        <v>7872.0672943876798</v>
      </c>
      <c r="J93" s="58">
        <v>21124.809682112002</v>
      </c>
      <c r="K93" s="58">
        <v>48670.95205996</v>
      </c>
      <c r="L93" s="58">
        <v>60915.295760148299</v>
      </c>
      <c r="M93" s="58">
        <v>147378.71044695601</v>
      </c>
      <c r="N93" s="58">
        <v>341984.93992874498</v>
      </c>
      <c r="O93" s="58">
        <v>626417.12818270305</v>
      </c>
      <c r="P93" s="58">
        <v>729191.22949205199</v>
      </c>
      <c r="Q93" s="58">
        <v>988572.894216649</v>
      </c>
      <c r="R93" s="58">
        <v>1174297.6988875701</v>
      </c>
      <c r="S93" s="58">
        <v>731.64787217475396</v>
      </c>
      <c r="T93" s="58">
        <v>6268.8924014098702</v>
      </c>
      <c r="U93" s="58">
        <v>17708.253421880501</v>
      </c>
      <c r="V93" s="58">
        <v>42832.142532199199</v>
      </c>
      <c r="W93" s="58">
        <v>55976.750824996401</v>
      </c>
      <c r="X93" s="58">
        <v>141440.83237451399</v>
      </c>
      <c r="Y93" s="58">
        <v>336664.71628262202</v>
      </c>
      <c r="Z93" s="58">
        <v>618185.956284713</v>
      </c>
      <c r="AA93" s="58">
        <v>723492.89846778905</v>
      </c>
      <c r="AB93" s="58">
        <v>981485.11330114806</v>
      </c>
      <c r="AC93" s="58">
        <v>1158496.63577731</v>
      </c>
    </row>
    <row r="94" spans="2:29" ht="15" x14ac:dyDescent="0.25">
      <c r="B94" s="54" t="s">
        <v>207</v>
      </c>
      <c r="C94" s="54" t="s">
        <v>205</v>
      </c>
      <c r="D94" s="54" t="s">
        <v>101</v>
      </c>
      <c r="E94" s="54" t="s">
        <v>99</v>
      </c>
      <c r="F94" s="56">
        <v>602.47029694118805</v>
      </c>
      <c r="G94" s="56">
        <v>3885.0364583779101</v>
      </c>
      <c r="H94" s="56">
        <v>18.608399316131798</v>
      </c>
      <c r="I94" s="56">
        <v>229.641613103205</v>
      </c>
      <c r="J94" s="56">
        <v>704.32370731039396</v>
      </c>
      <c r="K94" s="56">
        <v>1623.48539945117</v>
      </c>
      <c r="L94" s="56">
        <v>2175.0043724044599</v>
      </c>
      <c r="M94" s="56">
        <v>5458.1776216174203</v>
      </c>
      <c r="N94" s="56">
        <v>12829.392632784</v>
      </c>
      <c r="O94" s="56">
        <v>23844.7258708314</v>
      </c>
      <c r="P94" s="56">
        <v>31202.022423624599</v>
      </c>
      <c r="Q94" s="56">
        <v>41415.267591412703</v>
      </c>
      <c r="R94" s="56">
        <v>55884.982084971198</v>
      </c>
      <c r="S94" s="56">
        <v>15.7605440420812</v>
      </c>
      <c r="T94" s="56">
        <v>193.49536752045901</v>
      </c>
      <c r="U94" s="56">
        <v>597.26705982797796</v>
      </c>
      <c r="V94" s="56">
        <v>1444.9141498807301</v>
      </c>
      <c r="W94" s="56">
        <v>1946.46820252622</v>
      </c>
      <c r="X94" s="56">
        <v>5331.6334455050701</v>
      </c>
      <c r="Y94" s="56">
        <v>12291.786935448999</v>
      </c>
      <c r="Z94" s="56">
        <v>23644.865668914899</v>
      </c>
      <c r="AA94" s="56">
        <v>30781.585919559999</v>
      </c>
      <c r="AB94" s="56">
        <v>41009.9560616366</v>
      </c>
      <c r="AC94" s="56">
        <v>52083.146549434001</v>
      </c>
    </row>
    <row r="95" spans="2:29" ht="15" x14ac:dyDescent="0.25">
      <c r="B95" s="55" t="s">
        <v>208</v>
      </c>
      <c r="C95" s="55" t="s">
        <v>205</v>
      </c>
      <c r="D95" s="55" t="s">
        <v>103</v>
      </c>
      <c r="E95" s="55" t="s">
        <v>99</v>
      </c>
      <c r="F95" s="58">
        <v>615.25302161705804</v>
      </c>
      <c r="G95" s="58">
        <v>3083.6668944369999</v>
      </c>
      <c r="H95" s="59">
        <v>0</v>
      </c>
      <c r="I95" s="58">
        <v>221.782743849371</v>
      </c>
      <c r="J95" s="58">
        <v>939.78341291821596</v>
      </c>
      <c r="K95" s="58">
        <v>2547.5238323664198</v>
      </c>
      <c r="L95" s="58">
        <v>3474.5963716004499</v>
      </c>
      <c r="M95" s="58">
        <v>7500.6721770046597</v>
      </c>
      <c r="N95" s="58">
        <v>13294.921828213901</v>
      </c>
      <c r="O95" s="58">
        <v>22422.732846974501</v>
      </c>
      <c r="P95" s="58">
        <v>24451.795934526199</v>
      </c>
      <c r="Q95" s="58">
        <v>31032.051140946602</v>
      </c>
      <c r="R95" s="58">
        <v>42011.2310862878</v>
      </c>
      <c r="S95" s="59">
        <v>0</v>
      </c>
      <c r="T95" s="58">
        <v>221.782743849371</v>
      </c>
      <c r="U95" s="58">
        <v>839.52959063056699</v>
      </c>
      <c r="V95" s="58">
        <v>2390.4364649428999</v>
      </c>
      <c r="W95" s="59">
        <v>3281.7488462074898</v>
      </c>
      <c r="X95" s="58">
        <v>7323.0120879870501</v>
      </c>
      <c r="Y95" s="58">
        <v>12621.91230075</v>
      </c>
      <c r="Z95" s="58">
        <v>22149.938466908199</v>
      </c>
      <c r="AA95" s="58">
        <v>23918.613700182199</v>
      </c>
      <c r="AB95" s="58">
        <v>31032.051140946602</v>
      </c>
      <c r="AC95" s="58">
        <v>41169.461207676497</v>
      </c>
    </row>
    <row r="96" spans="2:29" ht="15" x14ac:dyDescent="0.25">
      <c r="B96" s="54" t="s">
        <v>209</v>
      </c>
      <c r="C96" s="54" t="s">
        <v>205</v>
      </c>
      <c r="D96" s="54" t="s">
        <v>105</v>
      </c>
      <c r="E96" s="54" t="s">
        <v>99</v>
      </c>
      <c r="F96" s="56">
        <v>34.778899053516803</v>
      </c>
      <c r="G96" s="56">
        <v>278.40102409857701</v>
      </c>
      <c r="H96" s="57">
        <v>0</v>
      </c>
      <c r="I96" s="57">
        <v>0</v>
      </c>
      <c r="J96" s="56">
        <v>27.500806760249699</v>
      </c>
      <c r="K96" s="56">
        <v>73.827182989276096</v>
      </c>
      <c r="L96" s="56">
        <v>117.879549789431</v>
      </c>
      <c r="M96" s="56">
        <v>315.12276338416501</v>
      </c>
      <c r="N96" s="56">
        <v>841.440618243053</v>
      </c>
      <c r="O96" s="56">
        <v>1680.4051225381199</v>
      </c>
      <c r="P96" s="56">
        <v>2205.4494320301501</v>
      </c>
      <c r="Q96" s="56">
        <v>3029.4035130150701</v>
      </c>
      <c r="R96" s="56">
        <v>4027.65323594949</v>
      </c>
      <c r="S96" s="57">
        <v>0</v>
      </c>
      <c r="T96" s="57">
        <v>0</v>
      </c>
      <c r="U96" s="56">
        <v>27.500806760249699</v>
      </c>
      <c r="V96" s="56">
        <v>69.300774977224293</v>
      </c>
      <c r="W96" s="56">
        <v>117.067797235882</v>
      </c>
      <c r="X96" s="56">
        <v>308.64917161067899</v>
      </c>
      <c r="Y96" s="57">
        <v>823.927656800146</v>
      </c>
      <c r="Z96" s="56">
        <v>1594.92127313524</v>
      </c>
      <c r="AA96" s="56">
        <v>2205.4494320301501</v>
      </c>
      <c r="AB96" s="56">
        <v>3029.4035130150701</v>
      </c>
      <c r="AC96" s="56">
        <v>3815.9592907159599</v>
      </c>
    </row>
    <row r="97" spans="2:29" ht="15" x14ac:dyDescent="0.25">
      <c r="B97" s="55" t="s">
        <v>210</v>
      </c>
      <c r="C97" s="55" t="s">
        <v>205</v>
      </c>
      <c r="D97" s="55" t="s">
        <v>107</v>
      </c>
      <c r="E97" s="55" t="s">
        <v>99</v>
      </c>
      <c r="F97" s="58">
        <v>191.63204686080601</v>
      </c>
      <c r="G97" s="58">
        <v>1476.2157682606401</v>
      </c>
      <c r="H97" s="59">
        <v>0</v>
      </c>
      <c r="I97" s="59">
        <v>0</v>
      </c>
      <c r="J97" s="58">
        <v>117.236962714898</v>
      </c>
      <c r="K97" s="58">
        <v>453.20593022958099</v>
      </c>
      <c r="L97" s="59">
        <v>635.97543287536803</v>
      </c>
      <c r="M97" s="58">
        <v>1759.9360009698601</v>
      </c>
      <c r="N97" s="58">
        <v>4623.4254713468799</v>
      </c>
      <c r="O97" s="58">
        <v>9319.9914300750006</v>
      </c>
      <c r="P97" s="58">
        <v>11919.311494858501</v>
      </c>
      <c r="Q97" s="59">
        <v>15715.287138723501</v>
      </c>
      <c r="R97" s="58">
        <v>21069.6921602162</v>
      </c>
      <c r="S97" s="59">
        <v>0</v>
      </c>
      <c r="T97" s="59">
        <v>0</v>
      </c>
      <c r="U97" s="58">
        <v>117.236962714898</v>
      </c>
      <c r="V97" s="58">
        <v>441.79318754879802</v>
      </c>
      <c r="W97" s="58">
        <v>624.19161410170705</v>
      </c>
      <c r="X97" s="58">
        <v>1720.2431294463299</v>
      </c>
      <c r="Y97" s="58">
        <v>4579.5259290539898</v>
      </c>
      <c r="Z97" s="59">
        <v>8951.5349148434107</v>
      </c>
      <c r="AA97" s="58">
        <v>11875.4919047732</v>
      </c>
      <c r="AB97" s="59">
        <v>15715.287138723501</v>
      </c>
      <c r="AC97" s="58">
        <v>20123.330274329001</v>
      </c>
    </row>
    <row r="98" spans="2:29" ht="15" x14ac:dyDescent="0.25">
      <c r="B98" s="54" t="s">
        <v>211</v>
      </c>
      <c r="C98" s="54" t="s">
        <v>205</v>
      </c>
      <c r="D98" s="54" t="s">
        <v>109</v>
      </c>
      <c r="E98" s="54" t="s">
        <v>99</v>
      </c>
      <c r="F98" s="56">
        <v>141.00470956502599</v>
      </c>
      <c r="G98" s="56">
        <v>867.711724596924</v>
      </c>
      <c r="H98" s="57">
        <v>2.7967999189466402</v>
      </c>
      <c r="I98" s="56">
        <v>49.607273893894998</v>
      </c>
      <c r="J98" s="56">
        <v>159.59693959779199</v>
      </c>
      <c r="K98" s="56">
        <v>389.23316655106299</v>
      </c>
      <c r="L98" s="56">
        <v>515.03484720342101</v>
      </c>
      <c r="M98" s="56">
        <v>1387.5539529427899</v>
      </c>
      <c r="N98" s="56">
        <v>3362.6157688303301</v>
      </c>
      <c r="O98" s="56">
        <v>6069.8933103527397</v>
      </c>
      <c r="P98" s="56">
        <v>6745.9384672670403</v>
      </c>
      <c r="Q98" s="57">
        <v>9952.2307486773698</v>
      </c>
      <c r="R98" s="56">
        <v>12794.882412818801</v>
      </c>
      <c r="S98" s="56">
        <v>2.3999999117987798</v>
      </c>
      <c r="T98" s="56">
        <v>41.698491865615203</v>
      </c>
      <c r="U98" s="56">
        <v>141.43391475136301</v>
      </c>
      <c r="V98" s="56">
        <v>346.17919601129501</v>
      </c>
      <c r="W98" s="56">
        <v>486.74833106591802</v>
      </c>
      <c r="X98" s="56">
        <v>1316.3932455998299</v>
      </c>
      <c r="Y98" s="56">
        <v>3213.2214002215301</v>
      </c>
      <c r="Z98" s="56">
        <v>5944.1052500947198</v>
      </c>
      <c r="AA98" s="56">
        <v>6516.0339376030597</v>
      </c>
      <c r="AB98" s="56">
        <v>9880.0430743310008</v>
      </c>
      <c r="AC98" s="56">
        <v>12740.3034448092</v>
      </c>
    </row>
    <row r="99" spans="2:29" ht="15" x14ac:dyDescent="0.25">
      <c r="B99" s="55" t="s">
        <v>212</v>
      </c>
      <c r="C99" s="55" t="s">
        <v>205</v>
      </c>
      <c r="D99" s="55" t="s">
        <v>111</v>
      </c>
      <c r="E99" s="55" t="s">
        <v>99</v>
      </c>
      <c r="F99" s="58">
        <v>165.18370180714601</v>
      </c>
      <c r="G99" s="58">
        <v>1271.48662435405</v>
      </c>
      <c r="H99" s="59">
        <v>0</v>
      </c>
      <c r="I99" s="59">
        <v>0</v>
      </c>
      <c r="J99" s="58">
        <v>140.76221574095899</v>
      </c>
      <c r="K99" s="58">
        <v>381.82216651998601</v>
      </c>
      <c r="L99" s="58">
        <v>571.06714896211099</v>
      </c>
      <c r="M99" s="58">
        <v>1593.55271930805</v>
      </c>
      <c r="N99" s="58">
        <v>4172.9035703300096</v>
      </c>
      <c r="O99" s="58">
        <v>7827.3798893890098</v>
      </c>
      <c r="P99" s="58">
        <v>10028.677856222899</v>
      </c>
      <c r="Q99" s="58">
        <v>13715.885301383199</v>
      </c>
      <c r="R99" s="58">
        <v>18379.321889371498</v>
      </c>
      <c r="S99" s="59">
        <v>0</v>
      </c>
      <c r="T99" s="59">
        <v>0</v>
      </c>
      <c r="U99" s="58">
        <v>140.76221574095899</v>
      </c>
      <c r="V99" s="58">
        <v>370.34382352944601</v>
      </c>
      <c r="W99" s="58">
        <v>564.15598221364405</v>
      </c>
      <c r="X99" s="58">
        <v>1583.7941131049499</v>
      </c>
      <c r="Y99" s="58">
        <v>3865.6126080646</v>
      </c>
      <c r="Z99" s="58">
        <v>7551.0894944859701</v>
      </c>
      <c r="AA99" s="58">
        <v>10028.677856222899</v>
      </c>
      <c r="AB99" s="58">
        <v>13641.5081506349</v>
      </c>
      <c r="AC99" s="58">
        <v>17291.3674504316</v>
      </c>
    </row>
    <row r="100" spans="2:29" ht="15" x14ac:dyDescent="0.25">
      <c r="B100" s="54" t="s">
        <v>213</v>
      </c>
      <c r="C100" s="54" t="s">
        <v>205</v>
      </c>
      <c r="D100" s="54" t="s">
        <v>113</v>
      </c>
      <c r="E100" s="54" t="s">
        <v>99</v>
      </c>
      <c r="F100" s="56">
        <v>78.243172522688994</v>
      </c>
      <c r="G100" s="57">
        <v>622.94672559964795</v>
      </c>
      <c r="H100" s="57">
        <v>0</v>
      </c>
      <c r="I100" s="56">
        <v>1.58395992859428</v>
      </c>
      <c r="J100" s="56">
        <v>71.7119973645475</v>
      </c>
      <c r="K100" s="56">
        <v>191.23200646301299</v>
      </c>
      <c r="L100" s="56">
        <v>262.94399514271498</v>
      </c>
      <c r="M100" s="56">
        <v>693.21599439366901</v>
      </c>
      <c r="N100" s="56">
        <v>1553.75997898222</v>
      </c>
      <c r="O100" s="56">
        <v>3285.9358422081</v>
      </c>
      <c r="P100" s="56">
        <v>4184.4948046870404</v>
      </c>
      <c r="Q100" s="56">
        <v>7049.9513167813302</v>
      </c>
      <c r="R100" s="56">
        <v>11051.278520674599</v>
      </c>
      <c r="S100" s="57">
        <v>0</v>
      </c>
      <c r="T100" s="56">
        <v>1.58395992859428</v>
      </c>
      <c r="U100" s="56">
        <v>49.391960056243299</v>
      </c>
      <c r="V100" s="56">
        <v>181.58363605500301</v>
      </c>
      <c r="W100" s="56">
        <v>262.94399514271498</v>
      </c>
      <c r="X100" s="56">
        <v>645.40799309361898</v>
      </c>
      <c r="Y100" s="56">
        <v>1505.95198408137</v>
      </c>
      <c r="Z100" s="56">
        <v>3285.9358422081</v>
      </c>
      <c r="AA100" s="56">
        <v>3920.11160564182</v>
      </c>
      <c r="AB100" s="56">
        <v>7049.9513167813302</v>
      </c>
      <c r="AC100" s="56">
        <v>11051.278520674599</v>
      </c>
    </row>
    <row r="101" spans="2:29" ht="15" x14ac:dyDescent="0.25">
      <c r="B101" s="55" t="s">
        <v>214</v>
      </c>
      <c r="C101" s="55" t="s">
        <v>205</v>
      </c>
      <c r="D101" s="55" t="s">
        <v>127</v>
      </c>
      <c r="E101" s="55" t="s">
        <v>99</v>
      </c>
      <c r="F101" s="58">
        <v>285654.96747400501</v>
      </c>
      <c r="G101" s="58">
        <v>1595534.29071334</v>
      </c>
      <c r="H101" s="58">
        <v>40387.692676589897</v>
      </c>
      <c r="I101" s="58">
        <v>189564.53390063401</v>
      </c>
      <c r="J101" s="59">
        <v>417706.34180067101</v>
      </c>
      <c r="K101" s="58">
        <v>861093.47350142896</v>
      </c>
      <c r="L101" s="58">
        <v>1052789.5777240701</v>
      </c>
      <c r="M101" s="58">
        <v>2256977.4600750399</v>
      </c>
      <c r="N101" s="58">
        <v>4077534.3635088</v>
      </c>
      <c r="O101" s="58">
        <v>8112209.3047857601</v>
      </c>
      <c r="P101" s="58">
        <v>9239774.6392207593</v>
      </c>
      <c r="Q101" s="58">
        <v>23401650.058564398</v>
      </c>
      <c r="R101" s="58">
        <v>29999073.144903701</v>
      </c>
      <c r="S101" s="58">
        <v>28122.9510171949</v>
      </c>
      <c r="T101" s="58">
        <v>134525.25849833101</v>
      </c>
      <c r="U101" s="58">
        <v>325055.99712101999</v>
      </c>
      <c r="V101" s="58">
        <v>728678.65091815998</v>
      </c>
      <c r="W101" s="59">
        <v>938079.98296189401</v>
      </c>
      <c r="X101" s="58">
        <v>2074785.7710609499</v>
      </c>
      <c r="Y101" s="58">
        <v>3881682.5003295499</v>
      </c>
      <c r="Z101" s="59">
        <v>7228700.9984339802</v>
      </c>
      <c r="AA101" s="58">
        <v>9032971.6752122995</v>
      </c>
      <c r="AB101" s="58">
        <v>23401650.058564398</v>
      </c>
      <c r="AC101" s="58">
        <v>29842723.173349701</v>
      </c>
    </row>
    <row r="102" spans="2:29" ht="15" x14ac:dyDescent="0.25">
      <c r="B102" s="54" t="s">
        <v>215</v>
      </c>
      <c r="C102" s="54" t="s">
        <v>205</v>
      </c>
      <c r="D102" s="54" t="s">
        <v>129</v>
      </c>
      <c r="E102" s="54" t="s">
        <v>99</v>
      </c>
      <c r="F102" s="56">
        <v>2846.6395295124198</v>
      </c>
      <c r="G102" s="56">
        <v>20245.999398049898</v>
      </c>
      <c r="H102" s="57">
        <v>4.7744098806461501</v>
      </c>
      <c r="I102" s="56">
        <v>401.88412920395098</v>
      </c>
      <c r="J102" s="56">
        <v>2519.5608913855299</v>
      </c>
      <c r="K102" s="56">
        <v>7350.3527086818603</v>
      </c>
      <c r="L102" s="56">
        <v>10321.605206530699</v>
      </c>
      <c r="M102" s="56">
        <v>26665.9623627131</v>
      </c>
      <c r="N102" s="57">
        <v>67332.647677518296</v>
      </c>
      <c r="O102" s="56">
        <v>124891.63745494399</v>
      </c>
      <c r="P102" s="56">
        <v>162779.70470789599</v>
      </c>
      <c r="Q102" s="56">
        <v>222056.294884848</v>
      </c>
      <c r="R102" s="56">
        <v>293096.654276966</v>
      </c>
      <c r="S102" s="56">
        <v>3.97867503349151</v>
      </c>
      <c r="T102" s="56">
        <v>365.59040821329398</v>
      </c>
      <c r="U102" s="56">
        <v>2302.1348978853598</v>
      </c>
      <c r="V102" s="57">
        <v>6848.8340473518001</v>
      </c>
      <c r="W102" s="56">
        <v>10002.730120095001</v>
      </c>
      <c r="X102" s="56">
        <v>25119.348091309301</v>
      </c>
      <c r="Y102" s="57">
        <v>66345.027450358102</v>
      </c>
      <c r="Z102" s="57">
        <v>119941.784307261</v>
      </c>
      <c r="AA102" s="56">
        <v>160782.08607641401</v>
      </c>
      <c r="AB102" s="56">
        <v>222049.92900463199</v>
      </c>
      <c r="AC102" s="57">
        <v>272246.04165369202</v>
      </c>
    </row>
    <row r="103" spans="2:29" ht="15" x14ac:dyDescent="0.25">
      <c r="B103" s="55" t="s">
        <v>216</v>
      </c>
      <c r="C103" s="55" t="s">
        <v>180</v>
      </c>
      <c r="D103" s="55" t="s">
        <v>217</v>
      </c>
      <c r="E103" s="55" t="s">
        <v>99</v>
      </c>
      <c r="F103" s="58">
        <v>73061.738917962197</v>
      </c>
      <c r="G103" s="58">
        <v>230571.99776694801</v>
      </c>
      <c r="H103" s="58">
        <v>12845.4197147012</v>
      </c>
      <c r="I103" s="58">
        <v>58170.962305878202</v>
      </c>
      <c r="J103" s="59">
        <v>143534.75960417301</v>
      </c>
      <c r="K103" s="58">
        <v>339744.98863950802</v>
      </c>
      <c r="L103" s="58">
        <v>420245.93511884002</v>
      </c>
      <c r="M103" s="58">
        <v>743765.29305969505</v>
      </c>
      <c r="N103" s="58">
        <v>1212849.3027426801</v>
      </c>
      <c r="O103" s="58">
        <v>1716107.18257479</v>
      </c>
      <c r="P103" s="58">
        <v>1818532.6200602299</v>
      </c>
      <c r="Q103" s="58">
        <v>2259383.08924643</v>
      </c>
      <c r="R103" s="58">
        <v>2748319.6720845099</v>
      </c>
      <c r="S103" s="58">
        <v>8958.1401016351992</v>
      </c>
      <c r="T103" s="58">
        <v>39753.286923874599</v>
      </c>
      <c r="U103" s="58">
        <v>104044.566437588</v>
      </c>
      <c r="V103" s="58">
        <v>254728.17439202301</v>
      </c>
      <c r="W103" s="59">
        <v>322437.659460072</v>
      </c>
      <c r="X103" s="58">
        <v>623539.67965346004</v>
      </c>
      <c r="Y103" s="58">
        <v>976626.23247836705</v>
      </c>
      <c r="Z103" s="59">
        <v>1383839.29200084</v>
      </c>
      <c r="AA103" s="58">
        <v>1525664.2648001499</v>
      </c>
      <c r="AB103" s="58">
        <v>2024344.0698213801</v>
      </c>
      <c r="AC103" s="58">
        <v>2364353.1502956101</v>
      </c>
    </row>
    <row r="104" spans="2:29" ht="15" x14ac:dyDescent="0.25">
      <c r="B104" s="54" t="s">
        <v>218</v>
      </c>
      <c r="C104" s="54" t="s">
        <v>180</v>
      </c>
      <c r="D104" s="54" t="s">
        <v>219</v>
      </c>
      <c r="E104" s="54" t="s">
        <v>99</v>
      </c>
      <c r="F104" s="56">
        <v>743101.84915229701</v>
      </c>
      <c r="G104" s="56">
        <v>1693294.7901308299</v>
      </c>
      <c r="H104" s="57">
        <v>223073.74894304399</v>
      </c>
      <c r="I104" s="56">
        <v>943809.72141614696</v>
      </c>
      <c r="J104" s="56">
        <v>1787235.92941469</v>
      </c>
      <c r="K104" s="56">
        <v>3105708.0581876398</v>
      </c>
      <c r="L104" s="56">
        <v>3633545.9137286502</v>
      </c>
      <c r="M104" s="56">
        <v>5474455.3827925604</v>
      </c>
      <c r="N104" s="57">
        <v>8125089.0387661196</v>
      </c>
      <c r="O104" s="56">
        <v>11324158.810594199</v>
      </c>
      <c r="P104" s="56">
        <v>12197308.149719501</v>
      </c>
      <c r="Q104" s="56">
        <v>15519790.8415679</v>
      </c>
      <c r="R104" s="56">
        <v>18248732.466593102</v>
      </c>
      <c r="S104" s="56">
        <v>148261.04187830599</v>
      </c>
      <c r="T104" s="56">
        <v>607442.786360192</v>
      </c>
      <c r="U104" s="56">
        <v>1126692.37807532</v>
      </c>
      <c r="V104" s="57">
        <v>2040713.83156089</v>
      </c>
      <c r="W104" s="56">
        <v>2394090.5540632098</v>
      </c>
      <c r="X104" s="56">
        <v>3866949.3505353201</v>
      </c>
      <c r="Y104" s="57">
        <v>6127807.9065949703</v>
      </c>
      <c r="Z104" s="57">
        <v>8594346.8444693405</v>
      </c>
      <c r="AA104" s="56">
        <v>9481608.5103558991</v>
      </c>
      <c r="AB104" s="56">
        <v>11770196.3943523</v>
      </c>
      <c r="AC104" s="57">
        <v>15002233.9910104</v>
      </c>
    </row>
    <row r="105" spans="2:29" ht="15" x14ac:dyDescent="0.25">
      <c r="B105" s="55" t="s">
        <v>220</v>
      </c>
      <c r="C105" s="55" t="s">
        <v>180</v>
      </c>
      <c r="D105" s="55" t="s">
        <v>221</v>
      </c>
      <c r="E105" s="55" t="s">
        <v>99</v>
      </c>
      <c r="F105" s="58">
        <v>457335.933278704</v>
      </c>
      <c r="G105" s="58">
        <v>1011906.22959719</v>
      </c>
      <c r="H105" s="58">
        <v>149837.05240618601</v>
      </c>
      <c r="I105" s="58">
        <v>588488.13334357296</v>
      </c>
      <c r="J105" s="59">
        <v>1099726.9842064001</v>
      </c>
      <c r="K105" s="58">
        <v>1894435.81141293</v>
      </c>
      <c r="L105" s="58">
        <v>2210634.95893496</v>
      </c>
      <c r="M105" s="58">
        <v>3305719.4355958998</v>
      </c>
      <c r="N105" s="58">
        <v>4821045.6972176395</v>
      </c>
      <c r="O105" s="58">
        <v>6392653.2532795696</v>
      </c>
      <c r="P105" s="58">
        <v>7076387.4321344802</v>
      </c>
      <c r="Q105" s="58">
        <v>9358532.8698906898</v>
      </c>
      <c r="R105" s="58">
        <v>11156991.715304401</v>
      </c>
      <c r="S105" s="58">
        <v>95891.575553836607</v>
      </c>
      <c r="T105" s="58">
        <v>366853.05958438898</v>
      </c>
      <c r="U105" s="58">
        <v>706360.88713179796</v>
      </c>
      <c r="V105" s="58">
        <v>1231630.0149111999</v>
      </c>
      <c r="W105" s="59">
        <v>1442527.22641528</v>
      </c>
      <c r="X105" s="58">
        <v>2330853.8406960801</v>
      </c>
      <c r="Y105" s="58">
        <v>3452848.34447627</v>
      </c>
      <c r="Z105" s="59">
        <v>4903493.6659287801</v>
      </c>
      <c r="AA105" s="58">
        <v>5303428.7325433102</v>
      </c>
      <c r="AB105" s="58">
        <v>7407648.5935747297</v>
      </c>
      <c r="AC105" s="58">
        <v>8677423.5832459796</v>
      </c>
    </row>
    <row r="106" spans="2:29" ht="15" x14ac:dyDescent="0.25">
      <c r="B106" s="54" t="s">
        <v>222</v>
      </c>
      <c r="C106" s="54" t="s">
        <v>193</v>
      </c>
      <c r="D106" s="54" t="s">
        <v>217</v>
      </c>
      <c r="E106" s="54" t="s">
        <v>99</v>
      </c>
      <c r="F106" s="56">
        <v>2452505.4826416699</v>
      </c>
      <c r="G106" s="56">
        <v>6476783.9328716304</v>
      </c>
      <c r="H106" s="57">
        <v>430885.20586528798</v>
      </c>
      <c r="I106" s="56">
        <v>3132349.4163616402</v>
      </c>
      <c r="J106" s="56">
        <v>6263270.4298594296</v>
      </c>
      <c r="K106" s="56">
        <v>10173237.697105501</v>
      </c>
      <c r="L106" s="56">
        <v>11611469.6392971</v>
      </c>
      <c r="M106" s="56">
        <v>17362755.987534501</v>
      </c>
      <c r="N106" s="57">
        <v>35304739.804474503</v>
      </c>
      <c r="O106" s="56">
        <v>40511825.770864397</v>
      </c>
      <c r="P106" s="56">
        <v>42006135.923529297</v>
      </c>
      <c r="Q106" s="56">
        <v>53699768.652826898</v>
      </c>
      <c r="R106" s="56">
        <v>67969572.924762905</v>
      </c>
      <c r="S106" s="56">
        <v>260359.63387389301</v>
      </c>
      <c r="T106" s="56">
        <v>2291965.1438064999</v>
      </c>
      <c r="U106" s="56">
        <v>4859536.5367322899</v>
      </c>
      <c r="V106" s="57">
        <v>7115787.4724438498</v>
      </c>
      <c r="W106" s="56">
        <v>8308595.6728336196</v>
      </c>
      <c r="X106" s="56">
        <v>12608643.3853784</v>
      </c>
      <c r="Y106" s="57">
        <v>33991608.6428653</v>
      </c>
      <c r="Z106" s="57">
        <v>36002811.462461203</v>
      </c>
      <c r="AA106" s="56">
        <v>36737339.085368901</v>
      </c>
      <c r="AB106" s="56">
        <v>43575826.3866468</v>
      </c>
      <c r="AC106" s="57">
        <v>60445006.969564199</v>
      </c>
    </row>
    <row r="107" spans="2:29" ht="15" x14ac:dyDescent="0.25">
      <c r="B107" s="55" t="s">
        <v>223</v>
      </c>
      <c r="C107" s="55" t="s">
        <v>193</v>
      </c>
      <c r="D107" s="55" t="s">
        <v>219</v>
      </c>
      <c r="E107" s="55" t="s">
        <v>99</v>
      </c>
      <c r="F107" s="58">
        <v>1070242.1185798401</v>
      </c>
      <c r="G107" s="58">
        <v>2461626.5228031399</v>
      </c>
      <c r="H107" s="58">
        <v>310603.56423098798</v>
      </c>
      <c r="I107" s="58">
        <v>1240031.8193033901</v>
      </c>
      <c r="J107" s="59">
        <v>2616555.2356891101</v>
      </c>
      <c r="K107" s="58">
        <v>4543036.5348368799</v>
      </c>
      <c r="L107" s="58">
        <v>5358647.4122855803</v>
      </c>
      <c r="M107" s="58">
        <v>8775545.7725581899</v>
      </c>
      <c r="N107" s="58">
        <v>12575386.850160601</v>
      </c>
      <c r="O107" s="58">
        <v>17141086.704080299</v>
      </c>
      <c r="P107" s="58">
        <v>18511478.947390899</v>
      </c>
      <c r="Q107" s="58">
        <v>22212120.2982958</v>
      </c>
      <c r="R107" s="58">
        <v>27275755.376722801</v>
      </c>
      <c r="S107" s="58">
        <v>178507.418479438</v>
      </c>
      <c r="T107" s="58">
        <v>822678.03654730401</v>
      </c>
      <c r="U107" s="58">
        <v>1998282.16327265</v>
      </c>
      <c r="V107" s="58">
        <v>3777518.1383717</v>
      </c>
      <c r="W107" s="59">
        <v>4513036.3783802399</v>
      </c>
      <c r="X107" s="58">
        <v>7544110.1215044502</v>
      </c>
      <c r="Y107" s="58">
        <v>11679307.373676499</v>
      </c>
      <c r="Z107" s="59">
        <v>15228004.5322011</v>
      </c>
      <c r="AA107" s="58">
        <v>17076230.7739373</v>
      </c>
      <c r="AB107" s="58">
        <v>19796593.975172199</v>
      </c>
      <c r="AC107" s="58">
        <v>23611300.4242418</v>
      </c>
    </row>
    <row r="108" spans="2:29" ht="15" x14ac:dyDescent="0.25">
      <c r="B108" s="54" t="s">
        <v>224</v>
      </c>
      <c r="C108" s="54" t="s">
        <v>193</v>
      </c>
      <c r="D108" s="54" t="s">
        <v>221</v>
      </c>
      <c r="E108" s="54" t="s">
        <v>99</v>
      </c>
      <c r="F108" s="56">
        <v>846938.53431942302</v>
      </c>
      <c r="G108" s="56">
        <v>2069253.2982143899</v>
      </c>
      <c r="H108" s="57">
        <v>241347.602040989</v>
      </c>
      <c r="I108" s="56">
        <v>982963.59463823505</v>
      </c>
      <c r="J108" s="56">
        <v>2055358.8382014399</v>
      </c>
      <c r="K108" s="56">
        <v>3542933.68705949</v>
      </c>
      <c r="L108" s="56">
        <v>3963851.4806056698</v>
      </c>
      <c r="M108" s="56">
        <v>6514601.53925204</v>
      </c>
      <c r="N108" s="57">
        <v>9984295.3404400405</v>
      </c>
      <c r="O108" s="56">
        <v>14087450.338377699</v>
      </c>
      <c r="P108" s="56">
        <v>16221800.036990499</v>
      </c>
      <c r="Q108" s="56">
        <v>18879302.2445683</v>
      </c>
      <c r="R108" s="56">
        <v>23751070.1822639</v>
      </c>
      <c r="S108" s="56">
        <v>139817.05500394499</v>
      </c>
      <c r="T108" s="56">
        <v>665405.71471632796</v>
      </c>
      <c r="U108" s="56">
        <v>1568945.6069946699</v>
      </c>
      <c r="V108" s="57">
        <v>2849319.5576820699</v>
      </c>
      <c r="W108" s="56">
        <v>3366865.6186127402</v>
      </c>
      <c r="X108" s="56">
        <v>5634778.2053720905</v>
      </c>
      <c r="Y108" s="57">
        <v>8886612.0461316202</v>
      </c>
      <c r="Z108" s="57">
        <v>12979192.936841801</v>
      </c>
      <c r="AA108" s="56">
        <v>14044790.4068674</v>
      </c>
      <c r="AB108" s="56">
        <v>17499450.9390199</v>
      </c>
      <c r="AC108" s="57">
        <v>21742814.360489301</v>
      </c>
    </row>
    <row r="109" spans="2:29" ht="15" x14ac:dyDescent="0.25">
      <c r="B109" s="55" t="s">
        <v>225</v>
      </c>
      <c r="C109" s="55" t="s">
        <v>205</v>
      </c>
      <c r="D109" s="55" t="s">
        <v>217</v>
      </c>
      <c r="E109" s="55" t="s">
        <v>99</v>
      </c>
      <c r="F109" s="58">
        <v>3153934.4694910902</v>
      </c>
      <c r="G109" s="58">
        <v>6617820.36499325</v>
      </c>
      <c r="H109" s="58">
        <v>1297367.26324898</v>
      </c>
      <c r="I109" s="58">
        <v>4259247.1974823996</v>
      </c>
      <c r="J109" s="59">
        <v>7228208.2152274102</v>
      </c>
      <c r="K109" s="58">
        <v>11148194.672851801</v>
      </c>
      <c r="L109" s="58">
        <v>12421772.1085766</v>
      </c>
      <c r="M109" s="58">
        <v>18716251.740214601</v>
      </c>
      <c r="N109" s="58">
        <v>36135348.087132998</v>
      </c>
      <c r="O109" s="58">
        <v>41350614.721862599</v>
      </c>
      <c r="P109" s="58">
        <v>43673816.697393499</v>
      </c>
      <c r="Q109" s="58">
        <v>55918191.164889798</v>
      </c>
      <c r="R109" s="58">
        <v>70012986.2929928</v>
      </c>
      <c r="S109" s="58">
        <v>786052.54288368195</v>
      </c>
      <c r="T109" s="58">
        <v>2638314.4715504702</v>
      </c>
      <c r="U109" s="58">
        <v>4946612.5869785501</v>
      </c>
      <c r="V109" s="58">
        <v>7398278.1831294298</v>
      </c>
      <c r="W109" s="59">
        <v>8538423.6417793799</v>
      </c>
      <c r="X109" s="58">
        <v>13013064.095945399</v>
      </c>
      <c r="Y109" s="58">
        <v>34169336.842886299</v>
      </c>
      <c r="Z109" s="59">
        <v>36206424.2819589</v>
      </c>
      <c r="AA109" s="58">
        <v>37112524.376708701</v>
      </c>
      <c r="AB109" s="58">
        <v>43575826.3866468</v>
      </c>
      <c r="AC109" s="58">
        <v>60445006.969564199</v>
      </c>
    </row>
    <row r="110" spans="2:29" ht="15" x14ac:dyDescent="0.25">
      <c r="B110" s="54" t="s">
        <v>226</v>
      </c>
      <c r="C110" s="54" t="s">
        <v>205</v>
      </c>
      <c r="D110" s="54" t="s">
        <v>219</v>
      </c>
      <c r="E110" s="54" t="s">
        <v>99</v>
      </c>
      <c r="F110" s="56">
        <v>1827909.77478291</v>
      </c>
      <c r="G110" s="56">
        <v>2764829.5295637101</v>
      </c>
      <c r="H110" s="57">
        <v>979572.11199351796</v>
      </c>
      <c r="I110" s="56">
        <v>2740877.3556427201</v>
      </c>
      <c r="J110" s="56">
        <v>4324552.7114013601</v>
      </c>
      <c r="K110" s="56">
        <v>6149778.2490801001</v>
      </c>
      <c r="L110" s="56">
        <v>6904863.9277048297</v>
      </c>
      <c r="M110" s="56">
        <v>10200550.882947</v>
      </c>
      <c r="N110" s="57">
        <v>13884558.8278019</v>
      </c>
      <c r="O110" s="56">
        <v>18483906.466651302</v>
      </c>
      <c r="P110" s="56">
        <v>19528037.1564673</v>
      </c>
      <c r="Q110" s="56">
        <v>23101272.4222483</v>
      </c>
      <c r="R110" s="56">
        <v>29249750.898096502</v>
      </c>
      <c r="S110" s="56">
        <v>580992.66429617605</v>
      </c>
      <c r="T110" s="56">
        <v>1573330.1464549</v>
      </c>
      <c r="U110" s="56">
        <v>2586381.11346727</v>
      </c>
      <c r="V110" s="57">
        <v>4165911.3666596501</v>
      </c>
      <c r="W110" s="56">
        <v>4902382.6977063203</v>
      </c>
      <c r="X110" s="56">
        <v>7544110.1215044502</v>
      </c>
      <c r="Y110" s="57">
        <v>11679307.373676499</v>
      </c>
      <c r="Z110" s="57">
        <v>15228004.5322011</v>
      </c>
      <c r="AA110" s="56">
        <v>17076230.7739374</v>
      </c>
      <c r="AB110" s="56">
        <v>19796593.975172199</v>
      </c>
      <c r="AC110" s="57">
        <v>23611300.424241699</v>
      </c>
    </row>
    <row r="111" spans="2:29" ht="15" x14ac:dyDescent="0.25">
      <c r="B111" s="55" t="s">
        <v>227</v>
      </c>
      <c r="C111" s="55" t="s">
        <v>205</v>
      </c>
      <c r="D111" s="55" t="s">
        <v>221</v>
      </c>
      <c r="E111" s="55" t="s">
        <v>99</v>
      </c>
      <c r="F111" s="58">
        <v>1413267.9493712501</v>
      </c>
      <c r="G111" s="58">
        <v>2283564.8897050102</v>
      </c>
      <c r="H111" s="58">
        <v>748121.685954749</v>
      </c>
      <c r="I111" s="58">
        <v>2102564.4756190502</v>
      </c>
      <c r="J111" s="59">
        <v>3312092.0086622802</v>
      </c>
      <c r="K111" s="58">
        <v>4659179.1861624504</v>
      </c>
      <c r="L111" s="58">
        <v>5238674.4435225502</v>
      </c>
      <c r="M111" s="58">
        <v>7602237.0825789198</v>
      </c>
      <c r="N111" s="58">
        <v>10983810.997839799</v>
      </c>
      <c r="O111" s="58">
        <v>14914307.857534399</v>
      </c>
      <c r="P111" s="58">
        <v>16787597.4098127</v>
      </c>
      <c r="Q111" s="58">
        <v>19934216.5599944</v>
      </c>
      <c r="R111" s="58">
        <v>24797048.880166698</v>
      </c>
      <c r="S111" s="58">
        <v>444832.624404006</v>
      </c>
      <c r="T111" s="58">
        <v>1243151.0445286401</v>
      </c>
      <c r="U111" s="58">
        <v>2010584.2985046201</v>
      </c>
      <c r="V111" s="58">
        <v>3186437.3951697499</v>
      </c>
      <c r="W111" s="59">
        <v>3645530.6703427201</v>
      </c>
      <c r="X111" s="58">
        <v>5756711.6832757602</v>
      </c>
      <c r="Y111" s="58">
        <v>8886612.0461316202</v>
      </c>
      <c r="Z111" s="59">
        <v>12979192.936841801</v>
      </c>
      <c r="AA111" s="58">
        <v>14044790.4068674</v>
      </c>
      <c r="AB111" s="58">
        <v>17499450.939019799</v>
      </c>
      <c r="AC111" s="58">
        <v>21742814.360489301</v>
      </c>
    </row>
    <row r="112" spans="2:29" ht="15" x14ac:dyDescent="0.25">
      <c r="B112" s="54" t="s">
        <v>228</v>
      </c>
      <c r="C112" s="54" t="s">
        <v>97</v>
      </c>
      <c r="D112" s="54" t="s">
        <v>229</v>
      </c>
      <c r="E112" s="54" t="s">
        <v>99</v>
      </c>
      <c r="F112" s="56">
        <v>26.698525819319201</v>
      </c>
      <c r="G112" s="56">
        <v>583.60472947399899</v>
      </c>
      <c r="H112" s="57">
        <v>0</v>
      </c>
      <c r="I112" s="56">
        <v>0</v>
      </c>
      <c r="J112" s="56">
        <v>0</v>
      </c>
      <c r="K112" s="56">
        <v>0</v>
      </c>
      <c r="L112" s="56">
        <v>0</v>
      </c>
      <c r="M112" s="56">
        <v>0</v>
      </c>
      <c r="N112" s="57">
        <v>0</v>
      </c>
      <c r="O112" s="56">
        <v>1716.3293564888099</v>
      </c>
      <c r="P112" s="56">
        <v>1886.7041239445</v>
      </c>
      <c r="Q112" s="56">
        <v>3749.5112199445998</v>
      </c>
      <c r="R112" s="56">
        <v>5523.6613325329099</v>
      </c>
      <c r="S112" s="56">
        <v>0</v>
      </c>
      <c r="T112" s="56">
        <v>0</v>
      </c>
      <c r="U112" s="56">
        <v>0</v>
      </c>
      <c r="V112" s="57">
        <v>0</v>
      </c>
      <c r="W112" s="56">
        <v>0</v>
      </c>
      <c r="X112" s="56">
        <v>0</v>
      </c>
      <c r="Y112" s="57">
        <v>0</v>
      </c>
      <c r="Z112" s="57">
        <v>1716.3293564888099</v>
      </c>
      <c r="AA112" s="56">
        <v>1886.7041239445</v>
      </c>
      <c r="AB112" s="56">
        <v>3749.5112199445998</v>
      </c>
      <c r="AC112" s="57">
        <v>5523.6613325329099</v>
      </c>
    </row>
    <row r="113" spans="2:29" ht="15" x14ac:dyDescent="0.25">
      <c r="B113" s="55" t="s">
        <v>230</v>
      </c>
      <c r="C113" s="55" t="s">
        <v>97</v>
      </c>
      <c r="D113" s="55" t="s">
        <v>231</v>
      </c>
      <c r="E113" s="55" t="s">
        <v>99</v>
      </c>
      <c r="F113" s="58">
        <v>23613.401461435002</v>
      </c>
      <c r="G113" s="58">
        <v>140595.66228663101</v>
      </c>
      <c r="H113" s="58">
        <v>332.59413133353303</v>
      </c>
      <c r="I113" s="58">
        <v>10128.379186465399</v>
      </c>
      <c r="J113" s="59">
        <v>38824.757716263397</v>
      </c>
      <c r="K113" s="58">
        <v>100421.26222318099</v>
      </c>
      <c r="L113" s="58">
        <v>124277.327331395</v>
      </c>
      <c r="M113" s="58">
        <v>235606.61553570701</v>
      </c>
      <c r="N113" s="58">
        <v>456840.35533297597</v>
      </c>
      <c r="O113" s="58">
        <v>709695.20106686396</v>
      </c>
      <c r="P113" s="58">
        <v>754705.40213377494</v>
      </c>
      <c r="Q113" s="58">
        <v>1035636.95525098</v>
      </c>
      <c r="R113" s="58">
        <v>1807087.8266523799</v>
      </c>
      <c r="S113" s="58">
        <v>300.364516803936</v>
      </c>
      <c r="T113" s="58">
        <v>9148.2444684441598</v>
      </c>
      <c r="U113" s="58">
        <v>36495.146926999398</v>
      </c>
      <c r="V113" s="58">
        <v>95444.1607029562</v>
      </c>
      <c r="W113" s="59">
        <v>115951.52860970399</v>
      </c>
      <c r="X113" s="58">
        <v>217952.38423109899</v>
      </c>
      <c r="Y113" s="58">
        <v>438479.630428984</v>
      </c>
      <c r="Z113" s="59">
        <v>674015.90198261198</v>
      </c>
      <c r="AA113" s="58">
        <v>738473.86512951704</v>
      </c>
      <c r="AB113" s="58">
        <v>1024332.24190399</v>
      </c>
      <c r="AC113" s="58">
        <v>1807087.8266523799</v>
      </c>
    </row>
    <row r="114" spans="2:29" ht="15" x14ac:dyDescent="0.25">
      <c r="B114" s="54" t="s">
        <v>232</v>
      </c>
      <c r="C114" s="54" t="s">
        <v>97</v>
      </c>
      <c r="D114" s="54" t="s">
        <v>233</v>
      </c>
      <c r="E114" s="54" t="s">
        <v>99</v>
      </c>
      <c r="F114" s="56">
        <v>57523.0727186023</v>
      </c>
      <c r="G114" s="56">
        <v>425232.38746811601</v>
      </c>
      <c r="H114" s="57">
        <v>19.154833820497601</v>
      </c>
      <c r="I114" s="56">
        <v>7102.2269705652097</v>
      </c>
      <c r="J114" s="56">
        <v>46789.845797103197</v>
      </c>
      <c r="K114" s="56">
        <v>170968.690495705</v>
      </c>
      <c r="L114" s="56">
        <v>238623.99840042801</v>
      </c>
      <c r="M114" s="56">
        <v>560450.48970993201</v>
      </c>
      <c r="N114" s="57">
        <v>1239020.25597488</v>
      </c>
      <c r="O114" s="56">
        <v>2275191.31734885</v>
      </c>
      <c r="P114" s="56">
        <v>2884735.4245591401</v>
      </c>
      <c r="Q114" s="56">
        <v>4729020.3479042398</v>
      </c>
      <c r="R114" s="56">
        <v>6238829.0775820799</v>
      </c>
      <c r="S114" s="56">
        <v>19.154833820497601</v>
      </c>
      <c r="T114" s="56">
        <v>6569.64456350205</v>
      </c>
      <c r="U114" s="56">
        <v>44631.489562736802</v>
      </c>
      <c r="V114" s="57">
        <v>162184.57876529699</v>
      </c>
      <c r="W114" s="56">
        <v>228738.32817368401</v>
      </c>
      <c r="X114" s="56">
        <v>540118.97824629</v>
      </c>
      <c r="Y114" s="57">
        <v>1206479.65810746</v>
      </c>
      <c r="Z114" s="57">
        <v>2259958.59613874</v>
      </c>
      <c r="AA114" s="56">
        <v>2884735.4245591401</v>
      </c>
      <c r="AB114" s="56">
        <v>4685430.4138301201</v>
      </c>
      <c r="AC114" s="57">
        <v>6224194.0792060401</v>
      </c>
    </row>
    <row r="115" spans="2:29" ht="15" x14ac:dyDescent="0.25">
      <c r="B115" s="55" t="s">
        <v>234</v>
      </c>
      <c r="C115" s="55" t="s">
        <v>97</v>
      </c>
      <c r="D115" s="55" t="s">
        <v>235</v>
      </c>
      <c r="E115" s="55" t="s">
        <v>99</v>
      </c>
      <c r="F115" s="58">
        <v>104481.737578164</v>
      </c>
      <c r="G115" s="58">
        <v>719673.79730083002</v>
      </c>
      <c r="H115" s="58">
        <v>0</v>
      </c>
      <c r="I115" s="58">
        <v>8664.7239010603498</v>
      </c>
      <c r="J115" s="59">
        <v>119869.45095928801</v>
      </c>
      <c r="K115" s="58">
        <v>396773.02474191698</v>
      </c>
      <c r="L115" s="58">
        <v>549629.447320687</v>
      </c>
      <c r="M115" s="58">
        <v>1153401.59075622</v>
      </c>
      <c r="N115" s="58">
        <v>2061850.5428393299</v>
      </c>
      <c r="O115" s="58">
        <v>3525276.0521234302</v>
      </c>
      <c r="P115" s="58">
        <v>4453844.0154314199</v>
      </c>
      <c r="Q115" s="58">
        <v>6757643.0295837298</v>
      </c>
      <c r="R115" s="58">
        <v>9371558.2127047703</v>
      </c>
      <c r="S115" s="58">
        <v>0</v>
      </c>
      <c r="T115" s="58">
        <v>8473.2311966313591</v>
      </c>
      <c r="U115" s="58">
        <v>116506.05223586599</v>
      </c>
      <c r="V115" s="58">
        <v>375068.94967464701</v>
      </c>
      <c r="W115" s="59">
        <v>534486.97220263002</v>
      </c>
      <c r="X115" s="58">
        <v>1120806.9571636899</v>
      </c>
      <c r="Y115" s="58">
        <v>1923533.3770924399</v>
      </c>
      <c r="Z115" s="59">
        <v>3525276.0521234302</v>
      </c>
      <c r="AA115" s="58">
        <v>4298281.0345274098</v>
      </c>
      <c r="AB115" s="58">
        <v>6757643.0295837298</v>
      </c>
      <c r="AC115" s="58">
        <v>8645965.9994308706</v>
      </c>
    </row>
    <row r="116" spans="2:29" ht="15" x14ac:dyDescent="0.25">
      <c r="B116" s="54" t="s">
        <v>236</v>
      </c>
      <c r="C116" s="54" t="s">
        <v>97</v>
      </c>
      <c r="D116" s="54" t="s">
        <v>237</v>
      </c>
      <c r="E116" s="54" t="s">
        <v>99</v>
      </c>
      <c r="F116" s="56">
        <v>10989.452109263901</v>
      </c>
      <c r="G116" s="56">
        <v>419753.40706477402</v>
      </c>
      <c r="H116" s="57">
        <v>0</v>
      </c>
      <c r="I116" s="56">
        <v>75.598136420163897</v>
      </c>
      <c r="J116" s="56">
        <v>3471.0675638842999</v>
      </c>
      <c r="K116" s="56">
        <v>14726.3433619059</v>
      </c>
      <c r="L116" s="56">
        <v>20967.397616359602</v>
      </c>
      <c r="M116" s="56">
        <v>53962.429418245498</v>
      </c>
      <c r="N116" s="57">
        <v>132545.52652747001</v>
      </c>
      <c r="O116" s="56">
        <v>244224.53873939801</v>
      </c>
      <c r="P116" s="56">
        <v>270901.317032488</v>
      </c>
      <c r="Q116" s="56">
        <v>362707.43259719497</v>
      </c>
      <c r="R116" s="56">
        <v>802536.60306927399</v>
      </c>
      <c r="S116" s="56">
        <v>0</v>
      </c>
      <c r="T116" s="56">
        <v>75.373242989474093</v>
      </c>
      <c r="U116" s="56">
        <v>3318.68442101865</v>
      </c>
      <c r="V116" s="57">
        <v>14069.5655310031</v>
      </c>
      <c r="W116" s="56">
        <v>19975.957824640001</v>
      </c>
      <c r="X116" s="56">
        <v>52902.594453753904</v>
      </c>
      <c r="Y116" s="57">
        <v>131884.68589451601</v>
      </c>
      <c r="Z116" s="57">
        <v>244224.53873939801</v>
      </c>
      <c r="AA116" s="56">
        <v>263595.77924322197</v>
      </c>
      <c r="AB116" s="56">
        <v>362707.43259719497</v>
      </c>
      <c r="AC116" s="57">
        <v>802393.20392014005</v>
      </c>
    </row>
    <row r="117" spans="2:29" ht="15" x14ac:dyDescent="0.25">
      <c r="B117" s="55" t="s">
        <v>238</v>
      </c>
      <c r="C117" s="55" t="s">
        <v>97</v>
      </c>
      <c r="D117" s="55" t="s">
        <v>239</v>
      </c>
      <c r="E117" s="55" t="s">
        <v>99</v>
      </c>
      <c r="F117" s="58">
        <v>842.618247001952</v>
      </c>
      <c r="G117" s="58">
        <v>11165.182355925101</v>
      </c>
      <c r="H117" s="58">
        <v>0</v>
      </c>
      <c r="I117" s="58">
        <v>0</v>
      </c>
      <c r="J117" s="59">
        <v>48.612707835338497</v>
      </c>
      <c r="K117" s="58">
        <v>1445.7720805169499</v>
      </c>
      <c r="L117" s="58">
        <v>1896.3689441077699</v>
      </c>
      <c r="M117" s="58">
        <v>5097.4536628742799</v>
      </c>
      <c r="N117" s="58">
        <v>14642.8092001681</v>
      </c>
      <c r="O117" s="58">
        <v>30353.747159799899</v>
      </c>
      <c r="P117" s="58">
        <v>35071.449845967101</v>
      </c>
      <c r="Q117" s="58">
        <v>81611.858398858894</v>
      </c>
      <c r="R117" s="58">
        <v>153853.29978682499</v>
      </c>
      <c r="S117" s="58">
        <v>0</v>
      </c>
      <c r="T117" s="58">
        <v>0</v>
      </c>
      <c r="U117" s="58">
        <v>48.054277606010203</v>
      </c>
      <c r="V117" s="58">
        <v>1434.2004486216899</v>
      </c>
      <c r="W117" s="59">
        <v>1866.1620035687099</v>
      </c>
      <c r="X117" s="58">
        <v>5076.04485181576</v>
      </c>
      <c r="Y117" s="58">
        <v>13512.607959344999</v>
      </c>
      <c r="Z117" s="59">
        <v>30353.747159799899</v>
      </c>
      <c r="AA117" s="58">
        <v>35071.449845967101</v>
      </c>
      <c r="AB117" s="58">
        <v>81611.858398858894</v>
      </c>
      <c r="AC117" s="58">
        <v>153853.29978682499</v>
      </c>
    </row>
    <row r="118" spans="2:29" ht="15" x14ac:dyDescent="0.25">
      <c r="B118" s="54" t="s">
        <v>240</v>
      </c>
      <c r="C118" s="54" t="s">
        <v>97</v>
      </c>
      <c r="D118" s="54" t="s">
        <v>241</v>
      </c>
      <c r="E118" s="54" t="s">
        <v>99</v>
      </c>
      <c r="F118" s="56">
        <v>80204.503605104401</v>
      </c>
      <c r="G118" s="56">
        <v>1683902.58967541</v>
      </c>
      <c r="H118" s="57">
        <v>0</v>
      </c>
      <c r="I118" s="56">
        <v>0</v>
      </c>
      <c r="J118" s="56">
        <v>2860.6214270619898</v>
      </c>
      <c r="K118" s="56">
        <v>32475.714708768901</v>
      </c>
      <c r="L118" s="56">
        <v>58169.392743265897</v>
      </c>
      <c r="M118" s="56">
        <v>291342.21438824298</v>
      </c>
      <c r="N118" s="57">
        <v>1038292.72461497</v>
      </c>
      <c r="O118" s="56">
        <v>2437385.3601404401</v>
      </c>
      <c r="P118" s="56">
        <v>3007567.0242353799</v>
      </c>
      <c r="Q118" s="56">
        <v>5822739.86724988</v>
      </c>
      <c r="R118" s="56">
        <v>14747596.3704462</v>
      </c>
      <c r="S118" s="56">
        <v>0</v>
      </c>
      <c r="T118" s="56">
        <v>0</v>
      </c>
      <c r="U118" s="56">
        <v>2825.1118401154699</v>
      </c>
      <c r="V118" s="57">
        <v>30642.892407035699</v>
      </c>
      <c r="W118" s="56">
        <v>57884.548154133801</v>
      </c>
      <c r="X118" s="56">
        <v>289743.46367311402</v>
      </c>
      <c r="Y118" s="57">
        <v>1038292.72461497</v>
      </c>
      <c r="Z118" s="57">
        <v>2380916.4256080301</v>
      </c>
      <c r="AA118" s="56">
        <v>2931621.4021561299</v>
      </c>
      <c r="AB118" s="56">
        <v>4960653.81564919</v>
      </c>
      <c r="AC118" s="57">
        <v>14747596.3704462</v>
      </c>
    </row>
    <row r="119" spans="2:29" ht="15" x14ac:dyDescent="0.25">
      <c r="B119" s="55" t="s">
        <v>242</v>
      </c>
      <c r="C119" s="55" t="s">
        <v>97</v>
      </c>
      <c r="D119" s="55" t="s">
        <v>243</v>
      </c>
      <c r="E119" s="55" t="s">
        <v>99</v>
      </c>
      <c r="F119" s="58">
        <v>163035.13910325599</v>
      </c>
      <c r="G119" s="58">
        <v>1343807.3977616499</v>
      </c>
      <c r="H119" s="58">
        <v>728.10936481416502</v>
      </c>
      <c r="I119" s="58">
        <v>25189.683661467101</v>
      </c>
      <c r="J119" s="59">
        <v>124624.81343534301</v>
      </c>
      <c r="K119" s="58">
        <v>440534.984757411</v>
      </c>
      <c r="L119" s="58">
        <v>621191.00363664597</v>
      </c>
      <c r="M119" s="58">
        <v>1509842.5648433601</v>
      </c>
      <c r="N119" s="58">
        <v>3162402.4396001301</v>
      </c>
      <c r="O119" s="58">
        <v>6443265.8868559198</v>
      </c>
      <c r="P119" s="58">
        <v>8136810.4003983196</v>
      </c>
      <c r="Q119" s="58">
        <v>13648438.011614799</v>
      </c>
      <c r="R119" s="58">
        <v>18035278.0820309</v>
      </c>
      <c r="S119" s="58">
        <v>652.56155334625498</v>
      </c>
      <c r="T119" s="58">
        <v>22522.607656153799</v>
      </c>
      <c r="U119" s="58">
        <v>116407.19196223099</v>
      </c>
      <c r="V119" s="58">
        <v>414261.71359657601</v>
      </c>
      <c r="W119" s="59">
        <v>598420.05451431498</v>
      </c>
      <c r="X119" s="58">
        <v>1461908.2510285601</v>
      </c>
      <c r="Y119" s="58">
        <v>3087501.1590277501</v>
      </c>
      <c r="Z119" s="59">
        <v>6438039.8357410198</v>
      </c>
      <c r="AA119" s="58">
        <v>8135391.8870594604</v>
      </c>
      <c r="AB119" s="58">
        <v>13516695.2860021</v>
      </c>
      <c r="AC119" s="58">
        <v>17535669.178571999</v>
      </c>
    </row>
    <row r="120" spans="2:29" ht="15" x14ac:dyDescent="0.25">
      <c r="B120" s="54" t="s">
        <v>244</v>
      </c>
      <c r="C120" s="54" t="s">
        <v>97</v>
      </c>
      <c r="D120" s="54" t="s">
        <v>245</v>
      </c>
      <c r="E120" s="54" t="s">
        <v>99</v>
      </c>
      <c r="F120" s="56">
        <v>2578.7727797503399</v>
      </c>
      <c r="G120" s="56">
        <v>37016.989250973798</v>
      </c>
      <c r="H120" s="57">
        <v>0</v>
      </c>
      <c r="I120" s="56">
        <v>0</v>
      </c>
      <c r="J120" s="56">
        <v>0</v>
      </c>
      <c r="K120" s="56">
        <v>0</v>
      </c>
      <c r="L120" s="56">
        <v>819.73465428567499</v>
      </c>
      <c r="M120" s="56">
        <v>8978.7738400068592</v>
      </c>
      <c r="N120" s="57">
        <v>41010.192675876599</v>
      </c>
      <c r="O120" s="56">
        <v>113351.97237322701</v>
      </c>
      <c r="P120" s="56">
        <v>140468.23161032601</v>
      </c>
      <c r="Q120" s="56">
        <v>353623.97002414998</v>
      </c>
      <c r="R120" s="56">
        <v>617782.37943810294</v>
      </c>
      <c r="S120" s="56">
        <v>0</v>
      </c>
      <c r="T120" s="56">
        <v>0</v>
      </c>
      <c r="U120" s="56">
        <v>0</v>
      </c>
      <c r="V120" s="57">
        <v>0</v>
      </c>
      <c r="W120" s="56">
        <v>819.73465428567499</v>
      </c>
      <c r="X120" s="56">
        <v>8767.9783772741703</v>
      </c>
      <c r="Y120" s="57">
        <v>40309.406827377599</v>
      </c>
      <c r="Z120" s="57">
        <v>105425.05933989301</v>
      </c>
      <c r="AA120" s="56">
        <v>140468.23161032601</v>
      </c>
      <c r="AB120" s="56">
        <v>353623.97002414998</v>
      </c>
      <c r="AC120" s="57">
        <v>617782.37943810294</v>
      </c>
    </row>
    <row r="121" spans="2:29" ht="15" x14ac:dyDescent="0.25">
      <c r="B121" s="55" t="s">
        <v>246</v>
      </c>
      <c r="C121" s="55" t="s">
        <v>97</v>
      </c>
      <c r="D121" s="55" t="s">
        <v>247</v>
      </c>
      <c r="E121" s="55" t="s">
        <v>99</v>
      </c>
      <c r="F121" s="58">
        <v>240372.453316642</v>
      </c>
      <c r="G121" s="58">
        <v>4086701.2082531601</v>
      </c>
      <c r="H121" s="58">
        <v>0</v>
      </c>
      <c r="I121" s="58">
        <v>2631.0634096257199</v>
      </c>
      <c r="J121" s="59">
        <v>57533.883721356397</v>
      </c>
      <c r="K121" s="58">
        <v>281396.155120062</v>
      </c>
      <c r="L121" s="58">
        <v>424179.96145026002</v>
      </c>
      <c r="M121" s="58">
        <v>1236997.93153664</v>
      </c>
      <c r="N121" s="58">
        <v>3401144.9447095599</v>
      </c>
      <c r="O121" s="58">
        <v>8235566.8670843299</v>
      </c>
      <c r="P121" s="58">
        <v>10378829.4356755</v>
      </c>
      <c r="Q121" s="58">
        <v>20723700.221303601</v>
      </c>
      <c r="R121" s="58">
        <v>38084126.973607898</v>
      </c>
      <c r="S121" s="58">
        <v>0</v>
      </c>
      <c r="T121" s="58">
        <v>2611.4345086615699</v>
      </c>
      <c r="U121" s="58">
        <v>56357.562572516101</v>
      </c>
      <c r="V121" s="58">
        <v>272252.35704669502</v>
      </c>
      <c r="W121" s="59">
        <v>415240.03178250301</v>
      </c>
      <c r="X121" s="58">
        <v>1224781.38060056</v>
      </c>
      <c r="Y121" s="58">
        <v>3373812.3092579599</v>
      </c>
      <c r="Z121" s="59">
        <v>8235565.4744334696</v>
      </c>
      <c r="AA121" s="58">
        <v>10378829.4356755</v>
      </c>
      <c r="AB121" s="58">
        <v>20723700.221303601</v>
      </c>
      <c r="AC121" s="58">
        <v>35856125.605457701</v>
      </c>
    </row>
    <row r="122" spans="2:29" ht="15" x14ac:dyDescent="0.25">
      <c r="B122" s="54" t="s">
        <v>248</v>
      </c>
      <c r="C122" s="54" t="s">
        <v>97</v>
      </c>
      <c r="D122" s="54" t="s">
        <v>249</v>
      </c>
      <c r="E122" s="54" t="s">
        <v>99</v>
      </c>
      <c r="F122" s="56">
        <v>7456.28189793415</v>
      </c>
      <c r="G122" s="56">
        <v>230708.672287761</v>
      </c>
      <c r="H122" s="57">
        <v>0</v>
      </c>
      <c r="I122" s="56">
        <v>0</v>
      </c>
      <c r="J122" s="56">
        <v>0</v>
      </c>
      <c r="K122" s="56">
        <v>537.55102111730298</v>
      </c>
      <c r="L122" s="56">
        <v>1460.9279817406</v>
      </c>
      <c r="M122" s="56">
        <v>18131.9716565903</v>
      </c>
      <c r="N122" s="57">
        <v>67084.023120609898</v>
      </c>
      <c r="O122" s="56">
        <v>202832.75585681299</v>
      </c>
      <c r="P122" s="56">
        <v>289625.55277571001</v>
      </c>
      <c r="Q122" s="56">
        <v>722211.52814965998</v>
      </c>
      <c r="R122" s="56">
        <v>1322517.58572371</v>
      </c>
      <c r="S122" s="56">
        <v>0</v>
      </c>
      <c r="T122" s="56">
        <v>0</v>
      </c>
      <c r="U122" s="56">
        <v>0</v>
      </c>
      <c r="V122" s="57">
        <v>534.84367791348302</v>
      </c>
      <c r="W122" s="56">
        <v>1460.9279817406</v>
      </c>
      <c r="X122" s="56">
        <v>18131.9716565903</v>
      </c>
      <c r="Y122" s="57">
        <v>67084.023120609898</v>
      </c>
      <c r="Z122" s="57">
        <v>202588.44191552399</v>
      </c>
      <c r="AA122" s="56">
        <v>275096.95821386098</v>
      </c>
      <c r="AB122" s="56">
        <v>722211.52814965998</v>
      </c>
      <c r="AC122" s="57">
        <v>1322517.58572371</v>
      </c>
    </row>
    <row r="123" spans="2:29" ht="15" x14ac:dyDescent="0.25">
      <c r="B123" s="55" t="s">
        <v>250</v>
      </c>
      <c r="C123" s="55" t="s">
        <v>97</v>
      </c>
      <c r="D123" s="55" t="s">
        <v>251</v>
      </c>
      <c r="E123" s="55" t="s">
        <v>99</v>
      </c>
      <c r="F123" s="58">
        <v>118469.77459291701</v>
      </c>
      <c r="G123" s="58">
        <v>2255519.4349539401</v>
      </c>
      <c r="H123" s="58">
        <v>373.916543987843</v>
      </c>
      <c r="I123" s="58">
        <v>15061.930122448201</v>
      </c>
      <c r="J123" s="59">
        <v>57103.184010569799</v>
      </c>
      <c r="K123" s="58">
        <v>181153.94203496099</v>
      </c>
      <c r="L123" s="58">
        <v>253749.30371999901</v>
      </c>
      <c r="M123" s="58">
        <v>642343.500229</v>
      </c>
      <c r="N123" s="58">
        <v>1599436.37969626</v>
      </c>
      <c r="O123" s="58">
        <v>3807087.2066553398</v>
      </c>
      <c r="P123" s="58">
        <v>4638377.6987149399</v>
      </c>
      <c r="Q123" s="58">
        <v>7798086.0554430196</v>
      </c>
      <c r="R123" s="58">
        <v>16862042.946249399</v>
      </c>
      <c r="S123" s="58">
        <v>337.95856458328598</v>
      </c>
      <c r="T123" s="58">
        <v>13365.375675303099</v>
      </c>
      <c r="U123" s="58">
        <v>53059.642031874602</v>
      </c>
      <c r="V123" s="58">
        <v>171578.549028979</v>
      </c>
      <c r="W123" s="59">
        <v>244465.59417690101</v>
      </c>
      <c r="X123" s="58">
        <v>629979.11679421796</v>
      </c>
      <c r="Y123" s="58">
        <v>1595788.2388279999</v>
      </c>
      <c r="Z123" s="59">
        <v>3685365.9282269399</v>
      </c>
      <c r="AA123" s="58">
        <v>4525340.2322916901</v>
      </c>
      <c r="AB123" s="58">
        <v>7798086.0554430196</v>
      </c>
      <c r="AC123" s="58">
        <v>16267179.9639147</v>
      </c>
    </row>
    <row r="124" spans="2:29" ht="15" x14ac:dyDescent="0.25">
      <c r="B124" s="54" t="s">
        <v>252</v>
      </c>
      <c r="C124" s="54" t="s">
        <v>97</v>
      </c>
      <c r="D124" s="54" t="s">
        <v>253</v>
      </c>
      <c r="E124" s="54" t="s">
        <v>99</v>
      </c>
      <c r="F124" s="56">
        <v>619628.69012257701</v>
      </c>
      <c r="G124" s="56">
        <v>9208918.8423636705</v>
      </c>
      <c r="H124" s="57">
        <v>0</v>
      </c>
      <c r="I124" s="56">
        <v>0</v>
      </c>
      <c r="J124" s="56">
        <v>652.60723887955896</v>
      </c>
      <c r="K124" s="56">
        <v>53047.142134410497</v>
      </c>
      <c r="L124" s="56">
        <v>136759.11378685301</v>
      </c>
      <c r="M124" s="56">
        <v>1298727.39913895</v>
      </c>
      <c r="N124" s="57">
        <v>7904575.6614225199</v>
      </c>
      <c r="O124" s="56">
        <v>24921130.0908859</v>
      </c>
      <c r="P124" s="56">
        <v>38108969.320453599</v>
      </c>
      <c r="Q124" s="56">
        <v>87499662.226844296</v>
      </c>
      <c r="R124" s="56">
        <v>167838064.887288</v>
      </c>
      <c r="S124" s="56">
        <v>0</v>
      </c>
      <c r="T124" s="56">
        <v>0</v>
      </c>
      <c r="U124" s="56">
        <v>652.60723887955896</v>
      </c>
      <c r="V124" s="57">
        <v>52313.470097196499</v>
      </c>
      <c r="W124" s="56">
        <v>136759.11378685301</v>
      </c>
      <c r="X124" s="56">
        <v>1271063.6687447201</v>
      </c>
      <c r="Y124" s="57">
        <v>7904575.6614225199</v>
      </c>
      <c r="Z124" s="57">
        <v>24807288.251992598</v>
      </c>
      <c r="AA124" s="56">
        <v>37709970.607974797</v>
      </c>
      <c r="AB124" s="56">
        <v>87499662.226844296</v>
      </c>
      <c r="AC124" s="57">
        <v>167838064.887288</v>
      </c>
    </row>
    <row r="125" spans="2:29" ht="15" x14ac:dyDescent="0.25">
      <c r="B125" s="55" t="s">
        <v>254</v>
      </c>
      <c r="C125" s="55" t="s">
        <v>97</v>
      </c>
      <c r="D125" s="55" t="s">
        <v>255</v>
      </c>
      <c r="E125" s="55" t="s">
        <v>99</v>
      </c>
      <c r="F125" s="58">
        <v>32205.570189992901</v>
      </c>
      <c r="G125" s="58">
        <v>182077.893583625</v>
      </c>
      <c r="H125" s="58">
        <v>734.83703553384203</v>
      </c>
      <c r="I125" s="58">
        <v>16604.440861583698</v>
      </c>
      <c r="J125" s="59">
        <v>51863.664260409598</v>
      </c>
      <c r="K125" s="58">
        <v>124377.746673646</v>
      </c>
      <c r="L125" s="58">
        <v>152193.858438606</v>
      </c>
      <c r="M125" s="58">
        <v>298289.86616119801</v>
      </c>
      <c r="N125" s="58">
        <v>579662.15183056798</v>
      </c>
      <c r="O125" s="58">
        <v>1029635.95952175</v>
      </c>
      <c r="P125" s="58">
        <v>1226207.28553056</v>
      </c>
      <c r="Q125" s="58">
        <v>1896080.51966799</v>
      </c>
      <c r="R125" s="58">
        <v>2912321.18533997</v>
      </c>
      <c r="S125" s="58">
        <v>669.34960080783605</v>
      </c>
      <c r="T125" s="58">
        <v>14455.518832047301</v>
      </c>
      <c r="U125" s="58">
        <v>46931.820717174298</v>
      </c>
      <c r="V125" s="58">
        <v>114869.374128332</v>
      </c>
      <c r="W125" s="59">
        <v>141293.150911359</v>
      </c>
      <c r="X125" s="58">
        <v>285629.67847351602</v>
      </c>
      <c r="Y125" s="58">
        <v>555767.56552744994</v>
      </c>
      <c r="Z125" s="59">
        <v>1010083.11396045</v>
      </c>
      <c r="AA125" s="58">
        <v>1090082.55893476</v>
      </c>
      <c r="AB125" s="58">
        <v>1896080.51966799</v>
      </c>
      <c r="AC125" s="58">
        <v>2858767.7241650098</v>
      </c>
    </row>
    <row r="126" spans="2:29" ht="15" x14ac:dyDescent="0.25">
      <c r="B126" s="54" t="s">
        <v>256</v>
      </c>
      <c r="C126" s="54" t="s">
        <v>97</v>
      </c>
      <c r="D126" s="54" t="s">
        <v>257</v>
      </c>
      <c r="E126" s="54" t="s">
        <v>99</v>
      </c>
      <c r="F126" s="56">
        <v>3342.6050164426201</v>
      </c>
      <c r="G126" s="56">
        <v>56444.6840487847</v>
      </c>
      <c r="H126" s="57">
        <v>0</v>
      </c>
      <c r="I126" s="56">
        <v>0</v>
      </c>
      <c r="J126" s="56">
        <v>0</v>
      </c>
      <c r="K126" s="56">
        <v>606.48726463562105</v>
      </c>
      <c r="L126" s="56">
        <v>2486.2260695557002</v>
      </c>
      <c r="M126" s="56">
        <v>15190.136508465999</v>
      </c>
      <c r="N126" s="57">
        <v>54671.5116915084</v>
      </c>
      <c r="O126" s="56">
        <v>136040.11885617499</v>
      </c>
      <c r="P126" s="56">
        <v>158665.557663685</v>
      </c>
      <c r="Q126" s="56">
        <v>347307.17081825598</v>
      </c>
      <c r="R126" s="56">
        <v>601036.28954030899</v>
      </c>
      <c r="S126" s="56">
        <v>0</v>
      </c>
      <c r="T126" s="56">
        <v>0</v>
      </c>
      <c r="U126" s="56">
        <v>0</v>
      </c>
      <c r="V126" s="57">
        <v>592.88092455903995</v>
      </c>
      <c r="W126" s="56">
        <v>2460.9706863276501</v>
      </c>
      <c r="X126" s="56">
        <v>15190.136508465999</v>
      </c>
      <c r="Y126" s="57">
        <v>54268.197139608499</v>
      </c>
      <c r="Z126" s="57">
        <v>135054.81743957201</v>
      </c>
      <c r="AA126" s="56">
        <v>158665.557663685</v>
      </c>
      <c r="AB126" s="56">
        <v>337506.02607948502</v>
      </c>
      <c r="AC126" s="57">
        <v>601036.28954030899</v>
      </c>
    </row>
    <row r="127" spans="2:29" ht="15" x14ac:dyDescent="0.25">
      <c r="B127" s="55" t="s">
        <v>258</v>
      </c>
      <c r="C127" s="55" t="s">
        <v>97</v>
      </c>
      <c r="D127" s="55" t="s">
        <v>259</v>
      </c>
      <c r="E127" s="55" t="s">
        <v>99</v>
      </c>
      <c r="F127" s="58">
        <v>17298.077550173901</v>
      </c>
      <c r="G127" s="58">
        <v>205335.054687461</v>
      </c>
      <c r="H127" s="58">
        <v>0</v>
      </c>
      <c r="I127" s="58">
        <v>0</v>
      </c>
      <c r="J127" s="59">
        <v>3211.5169856009802</v>
      </c>
      <c r="K127" s="58">
        <v>23499.386890869599</v>
      </c>
      <c r="L127" s="58">
        <v>40285.216033094599</v>
      </c>
      <c r="M127" s="58">
        <v>137808.67931568701</v>
      </c>
      <c r="N127" s="58">
        <v>362262.77818888897</v>
      </c>
      <c r="O127" s="58">
        <v>748332.41646200698</v>
      </c>
      <c r="P127" s="58">
        <v>945477.43393733201</v>
      </c>
      <c r="Q127" s="58">
        <v>1303729.5060990199</v>
      </c>
      <c r="R127" s="58">
        <v>2875320.6537083099</v>
      </c>
      <c r="S127" s="58">
        <v>0</v>
      </c>
      <c r="T127" s="58">
        <v>0</v>
      </c>
      <c r="U127" s="58">
        <v>3206.17774279582</v>
      </c>
      <c r="V127" s="58">
        <v>22754.4192441175</v>
      </c>
      <c r="W127" s="59">
        <v>39553.526995949796</v>
      </c>
      <c r="X127" s="58">
        <v>131670.500920708</v>
      </c>
      <c r="Y127" s="58">
        <v>354132.55737547402</v>
      </c>
      <c r="Z127" s="59">
        <v>748043.024342841</v>
      </c>
      <c r="AA127" s="58">
        <v>945413.68802513601</v>
      </c>
      <c r="AB127" s="58">
        <v>1303729.5060990199</v>
      </c>
      <c r="AC127" s="58">
        <v>2875320.6537083099</v>
      </c>
    </row>
    <row r="128" spans="2:29" ht="15" x14ac:dyDescent="0.25">
      <c r="B128" s="54" t="s">
        <v>260</v>
      </c>
      <c r="C128" s="54" t="s">
        <v>97</v>
      </c>
      <c r="D128" s="54" t="s">
        <v>261</v>
      </c>
      <c r="E128" s="54" t="s">
        <v>99</v>
      </c>
      <c r="F128" s="56">
        <v>41.684033299583596</v>
      </c>
      <c r="G128" s="56">
        <v>854.85869702195498</v>
      </c>
      <c r="H128" s="57">
        <v>0</v>
      </c>
      <c r="I128" s="56">
        <v>0</v>
      </c>
      <c r="J128" s="56">
        <v>0</v>
      </c>
      <c r="K128" s="56">
        <v>0</v>
      </c>
      <c r="L128" s="56">
        <v>0</v>
      </c>
      <c r="M128" s="56">
        <v>88.320028276912296</v>
      </c>
      <c r="N128" s="57">
        <v>493.93666391120797</v>
      </c>
      <c r="O128" s="56">
        <v>1257.4857356355401</v>
      </c>
      <c r="P128" s="56">
        <v>1999.8340487027101</v>
      </c>
      <c r="Q128" s="56">
        <v>4312.7817132480504</v>
      </c>
      <c r="R128" s="56">
        <v>9871.1346709325808</v>
      </c>
      <c r="S128" s="56">
        <v>0</v>
      </c>
      <c r="T128" s="56">
        <v>0</v>
      </c>
      <c r="U128" s="56">
        <v>0</v>
      </c>
      <c r="V128" s="57">
        <v>0</v>
      </c>
      <c r="W128" s="56">
        <v>0</v>
      </c>
      <c r="X128" s="56">
        <v>88.320028276912296</v>
      </c>
      <c r="Y128" s="57">
        <v>493.93666391120797</v>
      </c>
      <c r="Z128" s="57">
        <v>1257.4857356355401</v>
      </c>
      <c r="AA128" s="56">
        <v>1999.8340487027101</v>
      </c>
      <c r="AB128" s="56">
        <v>4312.7817132480504</v>
      </c>
      <c r="AC128" s="57">
        <v>9871.1346709325808</v>
      </c>
    </row>
    <row r="129" spans="2:29" ht="15" x14ac:dyDescent="0.25">
      <c r="B129" s="55" t="s">
        <v>262</v>
      </c>
      <c r="C129" s="55" t="s">
        <v>97</v>
      </c>
      <c r="D129" s="55" t="s">
        <v>263</v>
      </c>
      <c r="E129" s="55" t="s">
        <v>99</v>
      </c>
      <c r="F129" s="58">
        <v>3367.9266416055202</v>
      </c>
      <c r="G129" s="58">
        <v>43712.310291805901</v>
      </c>
      <c r="H129" s="58">
        <v>0</v>
      </c>
      <c r="I129" s="58">
        <v>0</v>
      </c>
      <c r="J129" s="59">
        <v>0</v>
      </c>
      <c r="K129" s="58">
        <v>250.84792245449299</v>
      </c>
      <c r="L129" s="58">
        <v>1497.4414684967501</v>
      </c>
      <c r="M129" s="58">
        <v>17493.473505120499</v>
      </c>
      <c r="N129" s="58">
        <v>62118.903830824202</v>
      </c>
      <c r="O129" s="58">
        <v>143069.61738172499</v>
      </c>
      <c r="P129" s="58">
        <v>203780.30200452299</v>
      </c>
      <c r="Q129" s="58">
        <v>418842.43178447598</v>
      </c>
      <c r="R129" s="58">
        <v>876537.86760175996</v>
      </c>
      <c r="S129" s="58">
        <v>0</v>
      </c>
      <c r="T129" s="58">
        <v>0</v>
      </c>
      <c r="U129" s="58">
        <v>0</v>
      </c>
      <c r="V129" s="58">
        <v>250.84792245449299</v>
      </c>
      <c r="W129" s="59">
        <v>1497.4414684967501</v>
      </c>
      <c r="X129" s="58">
        <v>17407.302215617499</v>
      </c>
      <c r="Y129" s="58">
        <v>62090.849352624296</v>
      </c>
      <c r="Z129" s="59">
        <v>143069.61738172499</v>
      </c>
      <c r="AA129" s="58">
        <v>203780.30200452299</v>
      </c>
      <c r="AB129" s="58">
        <v>418842.43178447598</v>
      </c>
      <c r="AC129" s="58">
        <v>876537.86760175996</v>
      </c>
    </row>
    <row r="130" spans="2:29" ht="15" x14ac:dyDescent="0.25">
      <c r="B130" s="54" t="s">
        <v>264</v>
      </c>
      <c r="C130" s="54" t="s">
        <v>97</v>
      </c>
      <c r="D130" s="54" t="s">
        <v>265</v>
      </c>
      <c r="E130" s="54" t="s">
        <v>99</v>
      </c>
      <c r="F130" s="56">
        <v>11962.598586006899</v>
      </c>
      <c r="G130" s="56">
        <v>202898.94790557199</v>
      </c>
      <c r="H130" s="57">
        <v>0</v>
      </c>
      <c r="I130" s="56">
        <v>0</v>
      </c>
      <c r="J130" s="56">
        <v>371.44819521648299</v>
      </c>
      <c r="K130" s="56">
        <v>6601.9347884281497</v>
      </c>
      <c r="L130" s="56">
        <v>12494.618048816101</v>
      </c>
      <c r="M130" s="56">
        <v>47077.755104107797</v>
      </c>
      <c r="N130" s="57">
        <v>142053.05916392899</v>
      </c>
      <c r="O130" s="56">
        <v>425065.59619736299</v>
      </c>
      <c r="P130" s="56">
        <v>667701.16880431597</v>
      </c>
      <c r="Q130" s="56">
        <v>1194277.99065748</v>
      </c>
      <c r="R130" s="56">
        <v>2291666.1351605202</v>
      </c>
      <c r="S130" s="56">
        <v>0</v>
      </c>
      <c r="T130" s="56">
        <v>0</v>
      </c>
      <c r="U130" s="56">
        <v>371.44819521648299</v>
      </c>
      <c r="V130" s="57">
        <v>6530.3473548429702</v>
      </c>
      <c r="W130" s="56">
        <v>12006.2581763248</v>
      </c>
      <c r="X130" s="56">
        <v>46923.263568994298</v>
      </c>
      <c r="Y130" s="57">
        <v>140924.32293630601</v>
      </c>
      <c r="Z130" s="57">
        <v>425065.59619736299</v>
      </c>
      <c r="AA130" s="56">
        <v>667701.16880431597</v>
      </c>
      <c r="AB130" s="56">
        <v>1194277.99065748</v>
      </c>
      <c r="AC130" s="57">
        <v>2291666.1351605202</v>
      </c>
    </row>
    <row r="131" spans="2:29" ht="15" x14ac:dyDescent="0.25">
      <c r="B131" s="55" t="s">
        <v>266</v>
      </c>
      <c r="C131" s="55" t="s">
        <v>97</v>
      </c>
      <c r="D131" s="55" t="s">
        <v>267</v>
      </c>
      <c r="E131" s="55" t="s">
        <v>99</v>
      </c>
      <c r="F131" s="58">
        <v>32903.822474792898</v>
      </c>
      <c r="G131" s="58">
        <v>246548.74245148801</v>
      </c>
      <c r="H131" s="58">
        <v>0</v>
      </c>
      <c r="I131" s="58">
        <v>12239.8311888464</v>
      </c>
      <c r="J131" s="59">
        <v>51269.055282390902</v>
      </c>
      <c r="K131" s="58">
        <v>124828.439212987</v>
      </c>
      <c r="L131" s="58">
        <v>158365.95972804099</v>
      </c>
      <c r="M131" s="58">
        <v>315969.947883624</v>
      </c>
      <c r="N131" s="58">
        <v>557314.05257936905</v>
      </c>
      <c r="O131" s="58">
        <v>934006.69082169898</v>
      </c>
      <c r="P131" s="58">
        <v>1162848.59159169</v>
      </c>
      <c r="Q131" s="58">
        <v>2051563.1723907001</v>
      </c>
      <c r="R131" s="58">
        <v>2929036.6159363301</v>
      </c>
      <c r="S131" s="58">
        <v>0</v>
      </c>
      <c r="T131" s="58">
        <v>11845.3033160043</v>
      </c>
      <c r="U131" s="58">
        <v>47425.5574834781</v>
      </c>
      <c r="V131" s="58">
        <v>117619.865973059</v>
      </c>
      <c r="W131" s="59">
        <v>149990.155525921</v>
      </c>
      <c r="X131" s="58">
        <v>290368.01370700798</v>
      </c>
      <c r="Y131" s="58">
        <v>534803.26412527903</v>
      </c>
      <c r="Z131" s="59">
        <v>928148.62419124495</v>
      </c>
      <c r="AA131" s="58">
        <v>1162432.49164209</v>
      </c>
      <c r="AB131" s="58">
        <v>1942941.84380782</v>
      </c>
      <c r="AC131" s="58">
        <v>2641270.7250879798</v>
      </c>
    </row>
    <row r="132" spans="2:29" ht="15" x14ac:dyDescent="0.25">
      <c r="B132" s="54" t="s">
        <v>268</v>
      </c>
      <c r="C132" s="54" t="s">
        <v>97</v>
      </c>
      <c r="D132" s="54" t="s">
        <v>269</v>
      </c>
      <c r="E132" s="54" t="s">
        <v>99</v>
      </c>
      <c r="F132" s="56">
        <v>1449.62240136932</v>
      </c>
      <c r="G132" s="56">
        <v>16274.304582213799</v>
      </c>
      <c r="H132" s="57">
        <v>0</v>
      </c>
      <c r="I132" s="56">
        <v>0</v>
      </c>
      <c r="J132" s="56">
        <v>0</v>
      </c>
      <c r="K132" s="56">
        <v>2363.9576847588201</v>
      </c>
      <c r="L132" s="56">
        <v>4274.8286071428902</v>
      </c>
      <c r="M132" s="56">
        <v>14102.6187528174</v>
      </c>
      <c r="N132" s="57">
        <v>30206.249943666098</v>
      </c>
      <c r="O132" s="56">
        <v>60525.6494260865</v>
      </c>
      <c r="P132" s="56">
        <v>76886.552643905699</v>
      </c>
      <c r="Q132" s="56">
        <v>127429.95736694</v>
      </c>
      <c r="R132" s="56">
        <v>218176.98553835801</v>
      </c>
      <c r="S132" s="56">
        <v>0</v>
      </c>
      <c r="T132" s="56">
        <v>0</v>
      </c>
      <c r="U132" s="56">
        <v>0</v>
      </c>
      <c r="V132" s="57">
        <v>2350.5778470794999</v>
      </c>
      <c r="W132" s="56">
        <v>4230.3891539998403</v>
      </c>
      <c r="X132" s="56">
        <v>13765.054832935</v>
      </c>
      <c r="Y132" s="57">
        <v>29031.1382662744</v>
      </c>
      <c r="Z132" s="57">
        <v>60525.6494260865</v>
      </c>
      <c r="AA132" s="56">
        <v>76886.552643905699</v>
      </c>
      <c r="AB132" s="56">
        <v>127429.95736694</v>
      </c>
      <c r="AC132" s="57">
        <v>218176.98553835801</v>
      </c>
    </row>
    <row r="133" spans="2:29" ht="15" x14ac:dyDescent="0.25">
      <c r="B133" s="55" t="s">
        <v>270</v>
      </c>
      <c r="C133" s="55" t="s">
        <v>97</v>
      </c>
      <c r="D133" s="55" t="s">
        <v>271</v>
      </c>
      <c r="E133" s="55" t="s">
        <v>99</v>
      </c>
      <c r="F133" s="58">
        <v>1459.8545335582801</v>
      </c>
      <c r="G133" s="58">
        <v>21057.900092399101</v>
      </c>
      <c r="H133" s="58">
        <v>0</v>
      </c>
      <c r="I133" s="58">
        <v>0</v>
      </c>
      <c r="J133" s="59">
        <v>0</v>
      </c>
      <c r="K133" s="58">
        <v>0</v>
      </c>
      <c r="L133" s="58">
        <v>0</v>
      </c>
      <c r="M133" s="58">
        <v>530.23618657053896</v>
      </c>
      <c r="N133" s="58">
        <v>22603.4187723287</v>
      </c>
      <c r="O133" s="58">
        <v>79795.170226581002</v>
      </c>
      <c r="P133" s="58">
        <v>101907.039934941</v>
      </c>
      <c r="Q133" s="58">
        <v>200890.87182297101</v>
      </c>
      <c r="R133" s="58">
        <v>331839.93286085501</v>
      </c>
      <c r="S133" s="58">
        <v>0</v>
      </c>
      <c r="T133" s="58">
        <v>0</v>
      </c>
      <c r="U133" s="58">
        <v>0</v>
      </c>
      <c r="V133" s="58">
        <v>0</v>
      </c>
      <c r="W133" s="59">
        <v>0</v>
      </c>
      <c r="X133" s="58">
        <v>530.23618657053896</v>
      </c>
      <c r="Y133" s="58">
        <v>22603.4187723287</v>
      </c>
      <c r="Z133" s="59">
        <v>79517.809832622006</v>
      </c>
      <c r="AA133" s="58">
        <v>101907.039934941</v>
      </c>
      <c r="AB133" s="58">
        <v>200890.87182297101</v>
      </c>
      <c r="AC133" s="58">
        <v>331839.93286085501</v>
      </c>
    </row>
    <row r="134" spans="2:29" ht="15" x14ac:dyDescent="0.25">
      <c r="B134" s="54" t="s">
        <v>272</v>
      </c>
      <c r="C134" s="54" t="s">
        <v>97</v>
      </c>
      <c r="D134" s="54" t="s">
        <v>273</v>
      </c>
      <c r="E134" s="54" t="s">
        <v>99</v>
      </c>
      <c r="F134" s="56">
        <v>22.8760297078253</v>
      </c>
      <c r="G134" s="56">
        <v>620.36891282988995</v>
      </c>
      <c r="H134" s="57">
        <v>0</v>
      </c>
      <c r="I134" s="56">
        <v>0</v>
      </c>
      <c r="J134" s="56">
        <v>0</v>
      </c>
      <c r="K134" s="56">
        <v>0</v>
      </c>
      <c r="L134" s="56">
        <v>0</v>
      </c>
      <c r="M134" s="56">
        <v>0</v>
      </c>
      <c r="N134" s="57">
        <v>0</v>
      </c>
      <c r="O134" s="56">
        <v>923.81015936196502</v>
      </c>
      <c r="P134" s="56">
        <v>1392.29239494745</v>
      </c>
      <c r="Q134" s="56">
        <v>2842.3268077899602</v>
      </c>
      <c r="R134" s="56">
        <v>5363.2968696382204</v>
      </c>
      <c r="S134" s="56">
        <v>0</v>
      </c>
      <c r="T134" s="56">
        <v>0</v>
      </c>
      <c r="U134" s="56">
        <v>0</v>
      </c>
      <c r="V134" s="57">
        <v>0</v>
      </c>
      <c r="W134" s="56">
        <v>0</v>
      </c>
      <c r="X134" s="56">
        <v>0</v>
      </c>
      <c r="Y134" s="57">
        <v>0</v>
      </c>
      <c r="Z134" s="57">
        <v>923.81015936196502</v>
      </c>
      <c r="AA134" s="56">
        <v>1392.29239494745</v>
      </c>
      <c r="AB134" s="56">
        <v>2842.3268077899602</v>
      </c>
      <c r="AC134" s="57">
        <v>5363.2968696382204</v>
      </c>
    </row>
    <row r="135" spans="2:29" ht="15" x14ac:dyDescent="0.25">
      <c r="B135" s="55" t="s">
        <v>274</v>
      </c>
      <c r="C135" s="55" t="s">
        <v>131</v>
      </c>
      <c r="D135" s="55" t="s">
        <v>229</v>
      </c>
      <c r="E135" s="55" t="s">
        <v>99</v>
      </c>
      <c r="F135" s="58">
        <v>4.0198008407558002E-2</v>
      </c>
      <c r="G135" s="58">
        <v>0.75533776212232295</v>
      </c>
      <c r="H135" s="58">
        <v>0</v>
      </c>
      <c r="I135" s="58">
        <v>0</v>
      </c>
      <c r="J135" s="59">
        <v>0</v>
      </c>
      <c r="K135" s="58">
        <v>0</v>
      </c>
      <c r="L135" s="58">
        <v>0</v>
      </c>
      <c r="M135" s="58">
        <v>0</v>
      </c>
      <c r="N135" s="58">
        <v>0</v>
      </c>
      <c r="O135" s="58">
        <v>0</v>
      </c>
      <c r="P135" s="58">
        <v>0</v>
      </c>
      <c r="Q135" s="58">
        <v>11.820835739150301</v>
      </c>
      <c r="R135" s="58">
        <v>14.040121455173001</v>
      </c>
      <c r="S135" s="58">
        <v>0</v>
      </c>
      <c r="T135" s="58">
        <v>0</v>
      </c>
      <c r="U135" s="58">
        <v>0</v>
      </c>
      <c r="V135" s="58">
        <v>0</v>
      </c>
      <c r="W135" s="59">
        <v>0</v>
      </c>
      <c r="X135" s="58">
        <v>0</v>
      </c>
      <c r="Y135" s="58">
        <v>0</v>
      </c>
      <c r="Z135" s="59">
        <v>0</v>
      </c>
      <c r="AA135" s="58">
        <v>0</v>
      </c>
      <c r="AB135" s="58">
        <v>11.820835739150301</v>
      </c>
      <c r="AC135" s="58">
        <v>14.040121455173001</v>
      </c>
    </row>
    <row r="136" spans="2:29" ht="15" x14ac:dyDescent="0.25">
      <c r="B136" s="54" t="s">
        <v>275</v>
      </c>
      <c r="C136" s="54" t="s">
        <v>131</v>
      </c>
      <c r="D136" s="54" t="s">
        <v>231</v>
      </c>
      <c r="E136" s="54" t="s">
        <v>99</v>
      </c>
      <c r="F136" s="56">
        <v>2830.0671304449702</v>
      </c>
      <c r="G136" s="56">
        <v>5723.0520112293998</v>
      </c>
      <c r="H136" s="57">
        <v>59.236338093697</v>
      </c>
      <c r="I136" s="56">
        <v>4336.6971193477602</v>
      </c>
      <c r="J136" s="56">
        <v>8120.8247697334</v>
      </c>
      <c r="K136" s="56">
        <v>13164.289579869501</v>
      </c>
      <c r="L136" s="56">
        <v>14879.343266526799</v>
      </c>
      <c r="M136" s="56">
        <v>22236.433510612202</v>
      </c>
      <c r="N136" s="57">
        <v>28788.4856282603</v>
      </c>
      <c r="O136" s="56">
        <v>35174.4205873799</v>
      </c>
      <c r="P136" s="56">
        <v>37098.973275500197</v>
      </c>
      <c r="Q136" s="56">
        <v>44198.408889552898</v>
      </c>
      <c r="R136" s="56">
        <v>54654.200634692897</v>
      </c>
      <c r="S136" s="56">
        <v>57.774585985136603</v>
      </c>
      <c r="T136" s="56">
        <v>3456.7740664364001</v>
      </c>
      <c r="U136" s="56">
        <v>6452.3541315821003</v>
      </c>
      <c r="V136" s="57">
        <v>9837.5920294799707</v>
      </c>
      <c r="W136" s="56">
        <v>11252.657101524401</v>
      </c>
      <c r="X136" s="56">
        <v>16322.360840534</v>
      </c>
      <c r="Y136" s="57">
        <v>22877.088755026401</v>
      </c>
      <c r="Z136" s="57">
        <v>27444.259914527502</v>
      </c>
      <c r="AA136" s="56">
        <v>28807.445951773101</v>
      </c>
      <c r="AB136" s="56">
        <v>32017.569256505201</v>
      </c>
      <c r="AC136" s="57">
        <v>37961.390142673699</v>
      </c>
    </row>
    <row r="137" spans="2:29" ht="15" x14ac:dyDescent="0.25">
      <c r="B137" s="55" t="s">
        <v>276</v>
      </c>
      <c r="C137" s="55" t="s">
        <v>131</v>
      </c>
      <c r="D137" s="55" t="s">
        <v>233</v>
      </c>
      <c r="E137" s="55" t="s">
        <v>99</v>
      </c>
      <c r="F137" s="58">
        <v>366053.36511837703</v>
      </c>
      <c r="G137" s="58">
        <v>1114463.9111081799</v>
      </c>
      <c r="H137" s="58">
        <v>101797.691576924</v>
      </c>
      <c r="I137" s="58">
        <v>329006.446358566</v>
      </c>
      <c r="J137" s="59">
        <v>671691.037266389</v>
      </c>
      <c r="K137" s="58">
        <v>1377013.1342265799</v>
      </c>
      <c r="L137" s="58">
        <v>1789162.3840089899</v>
      </c>
      <c r="M137" s="58">
        <v>3409134.15201113</v>
      </c>
      <c r="N137" s="58">
        <v>5042328.6611655997</v>
      </c>
      <c r="O137" s="58">
        <v>7717262.8542485302</v>
      </c>
      <c r="P137" s="58">
        <v>8671199.4851565007</v>
      </c>
      <c r="Q137" s="58">
        <v>13330268.743181</v>
      </c>
      <c r="R137" s="58">
        <v>15523677.529949199</v>
      </c>
      <c r="S137" s="58">
        <v>58824.2931086014</v>
      </c>
      <c r="T137" s="58">
        <v>208909.05539230301</v>
      </c>
      <c r="U137" s="58">
        <v>455987.11718632199</v>
      </c>
      <c r="V137" s="58">
        <v>1064002.3147042801</v>
      </c>
      <c r="W137" s="59">
        <v>1467910.1298449601</v>
      </c>
      <c r="X137" s="58">
        <v>2907380.2125361301</v>
      </c>
      <c r="Y137" s="58">
        <v>4481054.4720751001</v>
      </c>
      <c r="Z137" s="59">
        <v>6855730.26962825</v>
      </c>
      <c r="AA137" s="58">
        <v>7617268.1604362503</v>
      </c>
      <c r="AB137" s="58">
        <v>11762183.8538635</v>
      </c>
      <c r="AC137" s="58">
        <v>14736612.147836501</v>
      </c>
    </row>
    <row r="138" spans="2:29" ht="15" x14ac:dyDescent="0.25">
      <c r="B138" s="54" t="s">
        <v>277</v>
      </c>
      <c r="C138" s="54" t="s">
        <v>131</v>
      </c>
      <c r="D138" s="54" t="s">
        <v>235</v>
      </c>
      <c r="E138" s="54" t="s">
        <v>99</v>
      </c>
      <c r="F138" s="56">
        <v>0.35730993448735499</v>
      </c>
      <c r="G138" s="56">
        <v>1.58786133374984</v>
      </c>
      <c r="H138" s="57">
        <v>0</v>
      </c>
      <c r="I138" s="56">
        <v>0.468227225171297</v>
      </c>
      <c r="J138" s="56">
        <v>0.88840883199773502</v>
      </c>
      <c r="K138" s="56">
        <v>1.8918001602316901</v>
      </c>
      <c r="L138" s="56">
        <v>2.2626578378787801</v>
      </c>
      <c r="M138" s="56">
        <v>3.3529217163748402</v>
      </c>
      <c r="N138" s="57">
        <v>4.61138345412982</v>
      </c>
      <c r="O138" s="56">
        <v>6.6892282466568904</v>
      </c>
      <c r="P138" s="56">
        <v>7.8687108031275796</v>
      </c>
      <c r="Q138" s="56">
        <v>12.944248594884099</v>
      </c>
      <c r="R138" s="56">
        <v>21.793700780194101</v>
      </c>
      <c r="S138" s="56">
        <v>0</v>
      </c>
      <c r="T138" s="56">
        <v>0.468227225171297</v>
      </c>
      <c r="U138" s="56">
        <v>0.69639738641169002</v>
      </c>
      <c r="V138" s="57">
        <v>1.7810607557405</v>
      </c>
      <c r="W138" s="56">
        <v>2.0690934206248199</v>
      </c>
      <c r="X138" s="56">
        <v>3.1257928940049999</v>
      </c>
      <c r="Y138" s="57">
        <v>4.4270363962190196</v>
      </c>
      <c r="Z138" s="57">
        <v>6.5040826723190097</v>
      </c>
      <c r="AA138" s="56">
        <v>7.2986142835812302</v>
      </c>
      <c r="AB138" s="56">
        <v>12.944248594884099</v>
      </c>
      <c r="AC138" s="57">
        <v>21.793700780194101</v>
      </c>
    </row>
    <row r="139" spans="2:29" ht="15" x14ac:dyDescent="0.25">
      <c r="B139" s="55" t="s">
        <v>278</v>
      </c>
      <c r="C139" s="55" t="s">
        <v>131</v>
      </c>
      <c r="D139" s="55" t="s">
        <v>237</v>
      </c>
      <c r="E139" s="55" t="s">
        <v>99</v>
      </c>
      <c r="F139" s="58">
        <v>49.691429330559899</v>
      </c>
      <c r="G139" s="58">
        <v>341.08824981005102</v>
      </c>
      <c r="H139" s="58">
        <v>11.2753268807366</v>
      </c>
      <c r="I139" s="58">
        <v>57.189585695915198</v>
      </c>
      <c r="J139" s="59">
        <v>90.479984036740106</v>
      </c>
      <c r="K139" s="58">
        <v>125.270519998786</v>
      </c>
      <c r="L139" s="58">
        <v>141.10211362537899</v>
      </c>
      <c r="M139" s="58">
        <v>189.63594549996401</v>
      </c>
      <c r="N139" s="58">
        <v>283.46979304440799</v>
      </c>
      <c r="O139" s="58">
        <v>860.400779797891</v>
      </c>
      <c r="P139" s="58">
        <v>944.00567270749002</v>
      </c>
      <c r="Q139" s="58">
        <v>3250.9096338129898</v>
      </c>
      <c r="R139" s="58">
        <v>4021.21000288195</v>
      </c>
      <c r="S139" s="58">
        <v>8.3146004135033103</v>
      </c>
      <c r="T139" s="58">
        <v>48.072755666847101</v>
      </c>
      <c r="U139" s="58">
        <v>55.898357640740997</v>
      </c>
      <c r="V139" s="58">
        <v>75.201618363267599</v>
      </c>
      <c r="W139" s="59">
        <v>85.8307181031293</v>
      </c>
      <c r="X139" s="58">
        <v>140.10795023255801</v>
      </c>
      <c r="Y139" s="58">
        <v>232.26619049607601</v>
      </c>
      <c r="Z139" s="59">
        <v>754.98061994394095</v>
      </c>
      <c r="AA139" s="58">
        <v>885.16685620730698</v>
      </c>
      <c r="AB139" s="58">
        <v>3180.2438234553902</v>
      </c>
      <c r="AC139" s="58">
        <v>3411.7580589983199</v>
      </c>
    </row>
    <row r="140" spans="2:29" ht="15" x14ac:dyDescent="0.25">
      <c r="B140" s="54" t="s">
        <v>279</v>
      </c>
      <c r="C140" s="54" t="s">
        <v>131</v>
      </c>
      <c r="D140" s="54" t="s">
        <v>239</v>
      </c>
      <c r="E140" s="54" t="s">
        <v>99</v>
      </c>
      <c r="F140" s="56">
        <v>762.330420443962</v>
      </c>
      <c r="G140" s="56">
        <v>1970.5290773352699</v>
      </c>
      <c r="H140" s="57">
        <v>89.976023865908104</v>
      </c>
      <c r="I140" s="56">
        <v>1413.8599343247299</v>
      </c>
      <c r="J140" s="56">
        <v>1993.1412633142099</v>
      </c>
      <c r="K140" s="56">
        <v>3657.08120588153</v>
      </c>
      <c r="L140" s="56">
        <v>4268.1749991086199</v>
      </c>
      <c r="M140" s="56">
        <v>6490.3246143231599</v>
      </c>
      <c r="N140" s="57">
        <v>9346.7629566596206</v>
      </c>
      <c r="O140" s="56">
        <v>14122.7459179334</v>
      </c>
      <c r="P140" s="56">
        <v>15074.901265955699</v>
      </c>
      <c r="Q140" s="56">
        <v>18362.147961250201</v>
      </c>
      <c r="R140" s="56">
        <v>21380.782316092998</v>
      </c>
      <c r="S140" s="56">
        <v>66.6625178332894</v>
      </c>
      <c r="T140" s="56">
        <v>1377.9336164127001</v>
      </c>
      <c r="U140" s="56">
        <v>1673.9368507965301</v>
      </c>
      <c r="V140" s="57">
        <v>2916.7147826351702</v>
      </c>
      <c r="W140" s="56">
        <v>3434.0978096229401</v>
      </c>
      <c r="X140" s="56">
        <v>5019.0359376529996</v>
      </c>
      <c r="Y140" s="57">
        <v>7864.3930862658799</v>
      </c>
      <c r="Z140" s="57">
        <v>13686.1369668069</v>
      </c>
      <c r="AA140" s="56">
        <v>13894.264678551601</v>
      </c>
      <c r="AB140" s="56">
        <v>16520.169957075301</v>
      </c>
      <c r="AC140" s="57">
        <v>20585.272636637899</v>
      </c>
    </row>
    <row r="141" spans="2:29" ht="15" x14ac:dyDescent="0.25">
      <c r="B141" s="55" t="s">
        <v>280</v>
      </c>
      <c r="C141" s="55" t="s">
        <v>131</v>
      </c>
      <c r="D141" s="55" t="s">
        <v>241</v>
      </c>
      <c r="E141" s="55" t="s">
        <v>99</v>
      </c>
      <c r="F141" s="58">
        <v>24.2353839871231</v>
      </c>
      <c r="G141" s="58">
        <v>107.96210707921099</v>
      </c>
      <c r="H141" s="58">
        <v>1.7700863159837299</v>
      </c>
      <c r="I141" s="58">
        <v>31.8047551659037</v>
      </c>
      <c r="J141" s="59">
        <v>54.308801052685801</v>
      </c>
      <c r="K141" s="58">
        <v>94.765120960487806</v>
      </c>
      <c r="L141" s="58">
        <v>114.88994386159</v>
      </c>
      <c r="M141" s="58">
        <v>183.49202488405001</v>
      </c>
      <c r="N141" s="58">
        <v>302.40683039962698</v>
      </c>
      <c r="O141" s="58">
        <v>487.79286407788902</v>
      </c>
      <c r="P141" s="58">
        <v>584.41007086080299</v>
      </c>
      <c r="Q141" s="58">
        <v>985.20210394747005</v>
      </c>
      <c r="R141" s="58">
        <v>1301.7455128634499</v>
      </c>
      <c r="S141" s="58">
        <v>1.75425126111736</v>
      </c>
      <c r="T141" s="58">
        <v>27.379958387052699</v>
      </c>
      <c r="U141" s="58">
        <v>42.447421437886703</v>
      </c>
      <c r="V141" s="58">
        <v>74.135823612547497</v>
      </c>
      <c r="W141" s="59">
        <v>88.948872906698796</v>
      </c>
      <c r="X141" s="58">
        <v>154.071645509277</v>
      </c>
      <c r="Y141" s="58">
        <v>264.20816006937901</v>
      </c>
      <c r="Z141" s="59">
        <v>440.86855877487</v>
      </c>
      <c r="AA141" s="58">
        <v>544.99363233557699</v>
      </c>
      <c r="AB141" s="58">
        <v>951.45276565366999</v>
      </c>
      <c r="AC141" s="58">
        <v>1301.7455128634499</v>
      </c>
    </row>
    <row r="142" spans="2:29" ht="15" x14ac:dyDescent="0.25">
      <c r="B142" s="54" t="s">
        <v>281</v>
      </c>
      <c r="C142" s="54" t="s">
        <v>131</v>
      </c>
      <c r="D142" s="54" t="s">
        <v>243</v>
      </c>
      <c r="E142" s="54" t="s">
        <v>99</v>
      </c>
      <c r="F142" s="56">
        <v>1258884.7759756299</v>
      </c>
      <c r="G142" s="56">
        <v>4309631.3767442498</v>
      </c>
      <c r="H142" s="57">
        <v>279216.30380264297</v>
      </c>
      <c r="I142" s="56">
        <v>995183.42884937394</v>
      </c>
      <c r="J142" s="56">
        <v>2270866.6813819902</v>
      </c>
      <c r="K142" s="56">
        <v>4828104.1703878297</v>
      </c>
      <c r="L142" s="56">
        <v>6120249.3598201498</v>
      </c>
      <c r="M142" s="56">
        <v>11762773.315271201</v>
      </c>
      <c r="N142" s="57">
        <v>19353923.188574899</v>
      </c>
      <c r="O142" s="56">
        <v>31659748.635820001</v>
      </c>
      <c r="P142" s="56">
        <v>35686535.765368402</v>
      </c>
      <c r="Q142" s="56">
        <v>44461648.8917372</v>
      </c>
      <c r="R142" s="56">
        <v>59031337.327134199</v>
      </c>
      <c r="S142" s="56">
        <v>172457.94952079799</v>
      </c>
      <c r="T142" s="56">
        <v>630240.18269106897</v>
      </c>
      <c r="U142" s="56">
        <v>1707870.19966023</v>
      </c>
      <c r="V142" s="57">
        <v>4141765.29849107</v>
      </c>
      <c r="W142" s="56">
        <v>5282102.7774391901</v>
      </c>
      <c r="X142" s="56">
        <v>10472599.4464049</v>
      </c>
      <c r="Y142" s="57">
        <v>16974513.554026101</v>
      </c>
      <c r="Z142" s="57">
        <v>26078495.4515719</v>
      </c>
      <c r="AA142" s="56">
        <v>32986312.392570801</v>
      </c>
      <c r="AB142" s="56">
        <v>42511878.949870497</v>
      </c>
      <c r="AC142" s="57">
        <v>56464921.3417264</v>
      </c>
    </row>
    <row r="143" spans="2:29" ht="15" x14ac:dyDescent="0.25">
      <c r="B143" s="55" t="s">
        <v>282</v>
      </c>
      <c r="C143" s="55" t="s">
        <v>131</v>
      </c>
      <c r="D143" s="55" t="s">
        <v>251</v>
      </c>
      <c r="E143" s="55" t="s">
        <v>99</v>
      </c>
      <c r="F143" s="58">
        <v>11059.043829074601</v>
      </c>
      <c r="G143" s="58">
        <v>46270.502008545103</v>
      </c>
      <c r="H143" s="58">
        <v>1130.3780199682301</v>
      </c>
      <c r="I143" s="58">
        <v>6345.498313004</v>
      </c>
      <c r="J143" s="59">
        <v>21686.792169323599</v>
      </c>
      <c r="K143" s="58">
        <v>35724.903466505399</v>
      </c>
      <c r="L143" s="58">
        <v>44114.732649369304</v>
      </c>
      <c r="M143" s="58">
        <v>123631.61455339</v>
      </c>
      <c r="N143" s="58">
        <v>229288.418529571</v>
      </c>
      <c r="O143" s="58">
        <v>404479.983008101</v>
      </c>
      <c r="P143" s="58">
        <v>418272.56684694497</v>
      </c>
      <c r="Q143" s="58">
        <v>471443.01918864198</v>
      </c>
      <c r="R143" s="58">
        <v>542041.79223385605</v>
      </c>
      <c r="S143" s="58">
        <v>740.76512733674303</v>
      </c>
      <c r="T143" s="58">
        <v>4589.8464260237297</v>
      </c>
      <c r="U143" s="58">
        <v>18803.200036019702</v>
      </c>
      <c r="V143" s="58">
        <v>28520.778000201899</v>
      </c>
      <c r="W143" s="59">
        <v>37298.693789954501</v>
      </c>
      <c r="X143" s="58">
        <v>108454.701817839</v>
      </c>
      <c r="Y143" s="58">
        <v>214286.111240517</v>
      </c>
      <c r="Z143" s="59">
        <v>396661.434776187</v>
      </c>
      <c r="AA143" s="58">
        <v>408597.21519679</v>
      </c>
      <c r="AB143" s="58">
        <v>450319.23897282302</v>
      </c>
      <c r="AC143" s="58">
        <v>484126.14920024201</v>
      </c>
    </row>
    <row r="144" spans="2:29" ht="15" x14ac:dyDescent="0.25">
      <c r="B144" s="54" t="s">
        <v>283</v>
      </c>
      <c r="C144" s="54" t="s">
        <v>131</v>
      </c>
      <c r="D144" s="54" t="s">
        <v>253</v>
      </c>
      <c r="E144" s="54" t="s">
        <v>99</v>
      </c>
      <c r="F144" s="56">
        <v>282.28853887325801</v>
      </c>
      <c r="G144" s="56">
        <v>743.18401142069501</v>
      </c>
      <c r="H144" s="57">
        <v>0</v>
      </c>
      <c r="I144" s="56">
        <v>0</v>
      </c>
      <c r="J144" s="56">
        <v>1111.39402563624</v>
      </c>
      <c r="K144" s="56">
        <v>1680.25057842145</v>
      </c>
      <c r="L144" s="56">
        <v>2194.1777163647298</v>
      </c>
      <c r="M144" s="56">
        <v>2943.4141215442701</v>
      </c>
      <c r="N144" s="57">
        <v>3661.1188289542702</v>
      </c>
      <c r="O144" s="56">
        <v>4402.0447264969598</v>
      </c>
      <c r="P144" s="56">
        <v>4659.2329871894299</v>
      </c>
      <c r="Q144" s="56">
        <v>5263.5490967736196</v>
      </c>
      <c r="R144" s="56">
        <v>5729.0080206311904</v>
      </c>
      <c r="S144" s="56">
        <v>0</v>
      </c>
      <c r="T144" s="56">
        <v>0</v>
      </c>
      <c r="U144" s="56">
        <v>1109.6066765896301</v>
      </c>
      <c r="V144" s="57">
        <v>1166.60821703277</v>
      </c>
      <c r="W144" s="56">
        <v>1423.4761083511701</v>
      </c>
      <c r="X144" s="56">
        <v>2386.6084534972501</v>
      </c>
      <c r="Y144" s="57">
        <v>2956.9834078705899</v>
      </c>
      <c r="Z144" s="57">
        <v>3336.9397208620098</v>
      </c>
      <c r="AA144" s="56">
        <v>3404.7911902979899</v>
      </c>
      <c r="AB144" s="56">
        <v>3846.76902894457</v>
      </c>
      <c r="AC144" s="57">
        <v>4232.3865078684503</v>
      </c>
    </row>
    <row r="145" spans="2:29" ht="15" x14ac:dyDescent="0.25">
      <c r="B145" s="55" t="s">
        <v>284</v>
      </c>
      <c r="C145" s="55" t="s">
        <v>131</v>
      </c>
      <c r="D145" s="55" t="s">
        <v>255</v>
      </c>
      <c r="E145" s="55" t="s">
        <v>99</v>
      </c>
      <c r="F145" s="58">
        <v>11.4010236616098</v>
      </c>
      <c r="G145" s="58">
        <v>32.460957289749601</v>
      </c>
      <c r="H145" s="58">
        <v>0</v>
      </c>
      <c r="I145" s="58">
        <v>0.88028130945847005</v>
      </c>
      <c r="J145" s="59">
        <v>46.049715412830302</v>
      </c>
      <c r="K145" s="58">
        <v>63.668971914915701</v>
      </c>
      <c r="L145" s="58">
        <v>89.843156416032897</v>
      </c>
      <c r="M145" s="58">
        <v>126.768698911813</v>
      </c>
      <c r="N145" s="58">
        <v>156.26027815156201</v>
      </c>
      <c r="O145" s="58">
        <v>190.66426863365899</v>
      </c>
      <c r="P145" s="58">
        <v>205.98285445539699</v>
      </c>
      <c r="Q145" s="58">
        <v>251.90345574359901</v>
      </c>
      <c r="R145" s="58">
        <v>290.27263458703601</v>
      </c>
      <c r="S145" s="58">
        <v>0</v>
      </c>
      <c r="T145" s="58">
        <v>0.74224424867364502</v>
      </c>
      <c r="U145" s="58">
        <v>45.8245148535769</v>
      </c>
      <c r="V145" s="58">
        <v>47.0203939606589</v>
      </c>
      <c r="W145" s="59">
        <v>56.769765643853802</v>
      </c>
      <c r="X145" s="58">
        <v>106.442092204934</v>
      </c>
      <c r="Y145" s="58">
        <v>135.032264261313</v>
      </c>
      <c r="Z145" s="59">
        <v>151.89451308695399</v>
      </c>
      <c r="AA145" s="58">
        <v>156.885396424123</v>
      </c>
      <c r="AB145" s="58">
        <v>176.25633963981099</v>
      </c>
      <c r="AC145" s="58">
        <v>203.85099381004699</v>
      </c>
    </row>
    <row r="146" spans="2:29" ht="15" x14ac:dyDescent="0.25">
      <c r="B146" s="54" t="s">
        <v>285</v>
      </c>
      <c r="C146" s="54" t="s">
        <v>131</v>
      </c>
      <c r="D146" s="54" t="s">
        <v>257</v>
      </c>
      <c r="E146" s="54" t="s">
        <v>99</v>
      </c>
      <c r="F146" s="56">
        <v>10.374586669554899</v>
      </c>
      <c r="G146" s="56">
        <v>56.183436623909003</v>
      </c>
      <c r="H146" s="57">
        <v>0</v>
      </c>
      <c r="I146" s="56">
        <v>0</v>
      </c>
      <c r="J146" s="56">
        <v>6.7970580811238603</v>
      </c>
      <c r="K146" s="56">
        <v>45.727530602574497</v>
      </c>
      <c r="L146" s="56">
        <v>55.699907465061898</v>
      </c>
      <c r="M146" s="56">
        <v>166.120973733939</v>
      </c>
      <c r="N146" s="57">
        <v>264.40221611591301</v>
      </c>
      <c r="O146" s="56">
        <v>388.11975209661603</v>
      </c>
      <c r="P146" s="56">
        <v>444.02909774966201</v>
      </c>
      <c r="Q146" s="56">
        <v>586.28001542418701</v>
      </c>
      <c r="R146" s="56">
        <v>774.741867599334</v>
      </c>
      <c r="S146" s="56">
        <v>0</v>
      </c>
      <c r="T146" s="56">
        <v>0</v>
      </c>
      <c r="U146" s="56">
        <v>6.7795784969740396</v>
      </c>
      <c r="V146" s="57">
        <v>44.404342770406203</v>
      </c>
      <c r="W146" s="56">
        <v>53.070411891220303</v>
      </c>
      <c r="X146" s="56">
        <v>158.180028665317</v>
      </c>
      <c r="Y146" s="57">
        <v>261.117528319104</v>
      </c>
      <c r="Z146" s="57">
        <v>375.31083159197499</v>
      </c>
      <c r="AA146" s="56">
        <v>414.70635298282798</v>
      </c>
      <c r="AB146" s="56">
        <v>573.85263965368904</v>
      </c>
      <c r="AC146" s="57">
        <v>774.741867599334</v>
      </c>
    </row>
    <row r="147" spans="2:29" ht="15" x14ac:dyDescent="0.25">
      <c r="B147" s="55" t="s">
        <v>286</v>
      </c>
      <c r="C147" s="55" t="s">
        <v>131</v>
      </c>
      <c r="D147" s="55" t="s">
        <v>259</v>
      </c>
      <c r="E147" s="55" t="s">
        <v>99</v>
      </c>
      <c r="F147" s="58">
        <v>11273.7456521525</v>
      </c>
      <c r="G147" s="58">
        <v>46826.682018116502</v>
      </c>
      <c r="H147" s="58">
        <v>894.25667428670999</v>
      </c>
      <c r="I147" s="58">
        <v>6538.1354933658304</v>
      </c>
      <c r="J147" s="59">
        <v>12523.834849041599</v>
      </c>
      <c r="K147" s="58">
        <v>23591.020257767599</v>
      </c>
      <c r="L147" s="58">
        <v>39096.065321591101</v>
      </c>
      <c r="M147" s="58">
        <v>197254.98821100601</v>
      </c>
      <c r="N147" s="58">
        <v>243325.977609269</v>
      </c>
      <c r="O147" s="58">
        <v>316812.43662915402</v>
      </c>
      <c r="P147" s="58">
        <v>358236.69249520398</v>
      </c>
      <c r="Q147" s="58">
        <v>456502.57698576001</v>
      </c>
      <c r="R147" s="58">
        <v>485961.12299654802</v>
      </c>
      <c r="S147" s="58">
        <v>790.66931016116803</v>
      </c>
      <c r="T147" s="58">
        <v>5508.3962813858598</v>
      </c>
      <c r="U147" s="58">
        <v>9656.7548962348701</v>
      </c>
      <c r="V147" s="58">
        <v>16926.964772594602</v>
      </c>
      <c r="W147" s="59">
        <v>26231.895449466399</v>
      </c>
      <c r="X147" s="58">
        <v>189566.00443706199</v>
      </c>
      <c r="Y147" s="58">
        <v>226998.93043043601</v>
      </c>
      <c r="Z147" s="59">
        <v>296425.17292667902</v>
      </c>
      <c r="AA147" s="58">
        <v>322344.95051519998</v>
      </c>
      <c r="AB147" s="58">
        <v>410581.16507121501</v>
      </c>
      <c r="AC147" s="58">
        <v>457234.36352946598</v>
      </c>
    </row>
    <row r="148" spans="2:29" ht="15" x14ac:dyDescent="0.25">
      <c r="B148" s="54" t="s">
        <v>287</v>
      </c>
      <c r="C148" s="54" t="s">
        <v>131</v>
      </c>
      <c r="D148" s="54" t="s">
        <v>261</v>
      </c>
      <c r="E148" s="54" t="s">
        <v>99</v>
      </c>
      <c r="F148" s="56">
        <v>0.15386273059467001</v>
      </c>
      <c r="G148" s="56">
        <v>1.8818834316872699</v>
      </c>
      <c r="H148" s="57">
        <v>0</v>
      </c>
      <c r="I148" s="56">
        <v>0</v>
      </c>
      <c r="J148" s="56">
        <v>0</v>
      </c>
      <c r="K148" s="56">
        <v>0</v>
      </c>
      <c r="L148" s="56">
        <v>0</v>
      </c>
      <c r="M148" s="56">
        <v>0</v>
      </c>
      <c r="N148" s="57">
        <v>0</v>
      </c>
      <c r="O148" s="56">
        <v>12.047628525460199</v>
      </c>
      <c r="P148" s="56">
        <v>13.020323983774601</v>
      </c>
      <c r="Q148" s="56">
        <v>19.9100288708763</v>
      </c>
      <c r="R148" s="56">
        <v>30.060192605850499</v>
      </c>
      <c r="S148" s="56">
        <v>0</v>
      </c>
      <c r="T148" s="56">
        <v>0</v>
      </c>
      <c r="U148" s="56">
        <v>0</v>
      </c>
      <c r="V148" s="57">
        <v>0</v>
      </c>
      <c r="W148" s="56">
        <v>0</v>
      </c>
      <c r="X148" s="56">
        <v>0</v>
      </c>
      <c r="Y148" s="57">
        <v>0</v>
      </c>
      <c r="Z148" s="57">
        <v>12.047628525460199</v>
      </c>
      <c r="AA148" s="56">
        <v>13.020323983774601</v>
      </c>
      <c r="AB148" s="56">
        <v>19.9100288708763</v>
      </c>
      <c r="AC148" s="57">
        <v>30.060192605850499</v>
      </c>
    </row>
    <row r="149" spans="2:29" ht="15" x14ac:dyDescent="0.25">
      <c r="B149" s="55" t="s">
        <v>288</v>
      </c>
      <c r="C149" s="55" t="s">
        <v>131</v>
      </c>
      <c r="D149" s="55" t="s">
        <v>263</v>
      </c>
      <c r="E149" s="55" t="s">
        <v>99</v>
      </c>
      <c r="F149" s="58">
        <v>50.084231957441702</v>
      </c>
      <c r="G149" s="58">
        <v>146.03567765008299</v>
      </c>
      <c r="H149" s="58">
        <v>0</v>
      </c>
      <c r="I149" s="58">
        <v>46.139789591270301</v>
      </c>
      <c r="J149" s="59">
        <v>144.97886317155999</v>
      </c>
      <c r="K149" s="58">
        <v>281.42621385151</v>
      </c>
      <c r="L149" s="58">
        <v>326.22905592854602</v>
      </c>
      <c r="M149" s="58">
        <v>499.93191253814803</v>
      </c>
      <c r="N149" s="58">
        <v>718.56439119372101</v>
      </c>
      <c r="O149" s="58">
        <v>949.74172638659297</v>
      </c>
      <c r="P149" s="58">
        <v>1027.7172885321299</v>
      </c>
      <c r="Q149" s="58">
        <v>1266.09444178285</v>
      </c>
      <c r="R149" s="58">
        <v>1565.02178936424</v>
      </c>
      <c r="S149" s="58">
        <v>0</v>
      </c>
      <c r="T149" s="58">
        <v>42.549693547519297</v>
      </c>
      <c r="U149" s="58">
        <v>126.334453904326</v>
      </c>
      <c r="V149" s="58">
        <v>233.99998374449899</v>
      </c>
      <c r="W149" s="59">
        <v>268.38178470186102</v>
      </c>
      <c r="X149" s="58">
        <v>396.39960776425198</v>
      </c>
      <c r="Y149" s="58">
        <v>604.03186283345894</v>
      </c>
      <c r="Z149" s="59">
        <v>787.96399384499398</v>
      </c>
      <c r="AA149" s="58">
        <v>839.59338423225199</v>
      </c>
      <c r="AB149" s="58">
        <v>1023.04369787758</v>
      </c>
      <c r="AC149" s="58">
        <v>1217.23548635204</v>
      </c>
    </row>
    <row r="150" spans="2:29" ht="15" x14ac:dyDescent="0.25">
      <c r="B150" s="54" t="s">
        <v>289</v>
      </c>
      <c r="C150" s="54" t="s">
        <v>131</v>
      </c>
      <c r="D150" s="54" t="s">
        <v>265</v>
      </c>
      <c r="E150" s="54" t="s">
        <v>99</v>
      </c>
      <c r="F150" s="56">
        <v>2748.1133745222801</v>
      </c>
      <c r="G150" s="56">
        <v>16347.2490738819</v>
      </c>
      <c r="H150" s="57">
        <v>72.147344786587198</v>
      </c>
      <c r="I150" s="56">
        <v>817.32838763140001</v>
      </c>
      <c r="J150" s="56">
        <v>1673.23593071508</v>
      </c>
      <c r="K150" s="56">
        <v>2810.5611520191401</v>
      </c>
      <c r="L150" s="56">
        <v>3320.6775106343298</v>
      </c>
      <c r="M150" s="56">
        <v>79090.737803686003</v>
      </c>
      <c r="N150" s="57">
        <v>103479.030538718</v>
      </c>
      <c r="O150" s="56">
        <v>111012.641127688</v>
      </c>
      <c r="P150" s="56">
        <v>117302.263030031</v>
      </c>
      <c r="Q150" s="56">
        <v>173336.07958524101</v>
      </c>
      <c r="R150" s="56">
        <v>203541.386997188</v>
      </c>
      <c r="S150" s="56">
        <v>62.5438350738618</v>
      </c>
      <c r="T150" s="56">
        <v>689.73107369033903</v>
      </c>
      <c r="U150" s="56">
        <v>1369.6258106684099</v>
      </c>
      <c r="V150" s="57">
        <v>2264.9450216387199</v>
      </c>
      <c r="W150" s="56">
        <v>2603.25368772511</v>
      </c>
      <c r="X150" s="56">
        <v>79090.737803686003</v>
      </c>
      <c r="Y150" s="57">
        <v>102347.427684339</v>
      </c>
      <c r="Z150" s="57">
        <v>108711.037255217</v>
      </c>
      <c r="AA150" s="56">
        <v>111129.288710824</v>
      </c>
      <c r="AB150" s="56">
        <v>124288.017701729</v>
      </c>
      <c r="AC150" s="57">
        <v>180090.488835884</v>
      </c>
    </row>
    <row r="151" spans="2:29" ht="15" x14ac:dyDescent="0.25">
      <c r="B151" s="55" t="s">
        <v>290</v>
      </c>
      <c r="C151" s="55" t="s">
        <v>131</v>
      </c>
      <c r="D151" s="55" t="s">
        <v>267</v>
      </c>
      <c r="E151" s="55" t="s">
        <v>99</v>
      </c>
      <c r="F151" s="58">
        <v>2056.1214905468901</v>
      </c>
      <c r="G151" s="58">
        <v>11262.146674714601</v>
      </c>
      <c r="H151" s="58">
        <v>0</v>
      </c>
      <c r="I151" s="58">
        <v>1859.74872837213</v>
      </c>
      <c r="J151" s="59">
        <v>4043.09225678238</v>
      </c>
      <c r="K151" s="58">
        <v>6024.9078353578197</v>
      </c>
      <c r="L151" s="58">
        <v>6838.6945628859903</v>
      </c>
      <c r="M151" s="58">
        <v>9313.6387905955708</v>
      </c>
      <c r="N151" s="58">
        <v>12902.7497996517</v>
      </c>
      <c r="O151" s="58">
        <v>128190.391273726</v>
      </c>
      <c r="P151" s="58">
        <v>128705.411208972</v>
      </c>
      <c r="Q151" s="58">
        <v>132191.91163049699</v>
      </c>
      <c r="R151" s="58">
        <v>134350.110983939</v>
      </c>
      <c r="S151" s="58">
        <v>0</v>
      </c>
      <c r="T151" s="58">
        <v>1788.6008204356301</v>
      </c>
      <c r="U151" s="58">
        <v>3079.9223371631801</v>
      </c>
      <c r="V151" s="58">
        <v>4722.0809567324304</v>
      </c>
      <c r="W151" s="59">
        <v>5170.3566412445398</v>
      </c>
      <c r="X151" s="58">
        <v>6502.1879508286802</v>
      </c>
      <c r="Y151" s="58">
        <v>9293.3793519878109</v>
      </c>
      <c r="Z151" s="59">
        <v>128190.391273726</v>
      </c>
      <c r="AA151" s="58">
        <v>128190.391273726</v>
      </c>
      <c r="AB151" s="58">
        <v>128194.727056911</v>
      </c>
      <c r="AC151" s="58">
        <v>129986.988612617</v>
      </c>
    </row>
    <row r="152" spans="2:29" ht="15" x14ac:dyDescent="0.25">
      <c r="B152" s="54" t="s">
        <v>291</v>
      </c>
      <c r="C152" s="54" t="s">
        <v>131</v>
      </c>
      <c r="D152" s="54" t="s">
        <v>269</v>
      </c>
      <c r="E152" s="54" t="s">
        <v>99</v>
      </c>
      <c r="F152" s="56">
        <v>11496.197411937301</v>
      </c>
      <c r="G152" s="56">
        <v>80342.589060941697</v>
      </c>
      <c r="H152" s="57">
        <v>41.113499013693001</v>
      </c>
      <c r="I152" s="56">
        <v>4529.8368727777797</v>
      </c>
      <c r="J152" s="56">
        <v>6250.8278252011996</v>
      </c>
      <c r="K152" s="56">
        <v>10490.631369777801</v>
      </c>
      <c r="L152" s="56">
        <v>11943.485326808899</v>
      </c>
      <c r="M152" s="56">
        <v>18346.358724739199</v>
      </c>
      <c r="N152" s="57">
        <v>647123.99019849906</v>
      </c>
      <c r="O152" s="56">
        <v>660881.20343280805</v>
      </c>
      <c r="P152" s="56">
        <v>664312.42877592996</v>
      </c>
      <c r="Q152" s="56">
        <v>682111.00505173102</v>
      </c>
      <c r="R152" s="56">
        <v>696537.76320398797</v>
      </c>
      <c r="S152" s="56">
        <v>40.769191879712302</v>
      </c>
      <c r="T152" s="56">
        <v>4493.6172806697105</v>
      </c>
      <c r="U152" s="56">
        <v>4924.1768329832003</v>
      </c>
      <c r="V152" s="57">
        <v>8359.8322272267105</v>
      </c>
      <c r="W152" s="56">
        <v>9755.8923743570904</v>
      </c>
      <c r="X152" s="56">
        <v>14231.8397606213</v>
      </c>
      <c r="Y152" s="57">
        <v>644461.15106823598</v>
      </c>
      <c r="Z152" s="57">
        <v>656888.50040207803</v>
      </c>
      <c r="AA152" s="56">
        <v>662262.24435883004</v>
      </c>
      <c r="AB152" s="56">
        <v>676037.32405028597</v>
      </c>
      <c r="AC152" s="57">
        <v>685627.73265663604</v>
      </c>
    </row>
    <row r="153" spans="2:29" ht="15" x14ac:dyDescent="0.25">
      <c r="B153" s="55" t="s">
        <v>292</v>
      </c>
      <c r="C153" s="55" t="s">
        <v>131</v>
      </c>
      <c r="D153" s="55" t="s">
        <v>271</v>
      </c>
      <c r="E153" s="55" t="s">
        <v>99</v>
      </c>
      <c r="F153" s="58">
        <v>1988.3536416168799</v>
      </c>
      <c r="G153" s="58">
        <v>5517.7418056914003</v>
      </c>
      <c r="H153" s="58">
        <v>0</v>
      </c>
      <c r="I153" s="58">
        <v>511.47494273652802</v>
      </c>
      <c r="J153" s="59">
        <v>7150.2111728387899</v>
      </c>
      <c r="K153" s="58">
        <v>12181.047687419999</v>
      </c>
      <c r="L153" s="58">
        <v>13820.028649307</v>
      </c>
      <c r="M153" s="58">
        <v>19169.823895731301</v>
      </c>
      <c r="N153" s="58">
        <v>26503.130490508898</v>
      </c>
      <c r="O153" s="58">
        <v>36751.383378076804</v>
      </c>
      <c r="P153" s="58">
        <v>38799.800892762098</v>
      </c>
      <c r="Q153" s="58">
        <v>46993.839224246003</v>
      </c>
      <c r="R153" s="58">
        <v>51629.8377021263</v>
      </c>
      <c r="S153" s="58">
        <v>0</v>
      </c>
      <c r="T153" s="58">
        <v>509.78407589316902</v>
      </c>
      <c r="U153" s="58">
        <v>7101.5483071708304</v>
      </c>
      <c r="V153" s="58">
        <v>7890.9189631292602</v>
      </c>
      <c r="W153" s="59">
        <v>9349.30826605318</v>
      </c>
      <c r="X153" s="58">
        <v>14805.2985608491</v>
      </c>
      <c r="Y153" s="58">
        <v>20448.907979530199</v>
      </c>
      <c r="Z153" s="59">
        <v>34581.404157391997</v>
      </c>
      <c r="AA153" s="58">
        <v>36751.383378076804</v>
      </c>
      <c r="AB153" s="58">
        <v>40059.114291635196</v>
      </c>
      <c r="AC153" s="58">
        <v>43756.305408512701</v>
      </c>
    </row>
    <row r="154" spans="2:29" ht="15" x14ac:dyDescent="0.25">
      <c r="B154" s="54" t="s">
        <v>293</v>
      </c>
      <c r="C154" s="54" t="s">
        <v>131</v>
      </c>
      <c r="D154" s="54" t="s">
        <v>273</v>
      </c>
      <c r="E154" s="54" t="s">
        <v>99</v>
      </c>
      <c r="F154" s="56">
        <v>98.900040603755301</v>
      </c>
      <c r="G154" s="56">
        <v>1038.2478727871801</v>
      </c>
      <c r="H154" s="57">
        <v>0</v>
      </c>
      <c r="I154" s="56">
        <v>5.9325318391778499</v>
      </c>
      <c r="J154" s="56">
        <v>36.953791111420898</v>
      </c>
      <c r="K154" s="56">
        <v>60.7442231752974</v>
      </c>
      <c r="L154" s="56">
        <v>70.219821325958193</v>
      </c>
      <c r="M154" s="56">
        <v>113.76416418789501</v>
      </c>
      <c r="N154" s="57">
        <v>179.973516692609</v>
      </c>
      <c r="O154" s="56">
        <v>10394.2304905895</v>
      </c>
      <c r="P154" s="56">
        <v>10794.5914307643</v>
      </c>
      <c r="Q154" s="56">
        <v>12745.0360251645</v>
      </c>
      <c r="R154" s="56">
        <v>14431.597699866101</v>
      </c>
      <c r="S154" s="56">
        <v>0</v>
      </c>
      <c r="T154" s="56">
        <v>5.9093307469101202</v>
      </c>
      <c r="U154" s="56">
        <v>35.912907456370398</v>
      </c>
      <c r="V154" s="57">
        <v>45.552120654651901</v>
      </c>
      <c r="W154" s="56">
        <v>53.283205196012702</v>
      </c>
      <c r="X154" s="56">
        <v>93.837255093992297</v>
      </c>
      <c r="Y154" s="57">
        <v>149.48128358868601</v>
      </c>
      <c r="Z154" s="57">
        <v>10369.674827720701</v>
      </c>
      <c r="AA154" s="56">
        <v>10794.5914307643</v>
      </c>
      <c r="AB154" s="56">
        <v>12745.0360251645</v>
      </c>
      <c r="AC154" s="57">
        <v>14431.597699866101</v>
      </c>
    </row>
    <row r="155" spans="2:29" ht="15" x14ac:dyDescent="0.25">
      <c r="B155" s="55" t="s">
        <v>294</v>
      </c>
      <c r="C155" s="55" t="s">
        <v>146</v>
      </c>
      <c r="D155" s="55" t="s">
        <v>229</v>
      </c>
      <c r="E155" s="55" t="s">
        <v>99</v>
      </c>
      <c r="F155" s="58">
        <v>1.53454666896193</v>
      </c>
      <c r="G155" s="58">
        <v>19.431282057564701</v>
      </c>
      <c r="H155" s="58">
        <v>0</v>
      </c>
      <c r="I155" s="58">
        <v>0</v>
      </c>
      <c r="J155" s="59">
        <v>0.84109590788215205</v>
      </c>
      <c r="K155" s="58">
        <v>2.5178081473849798</v>
      </c>
      <c r="L155" s="58">
        <v>4.1198798351508303</v>
      </c>
      <c r="M155" s="58">
        <v>10.310523687992299</v>
      </c>
      <c r="N155" s="58">
        <v>23.470613916026</v>
      </c>
      <c r="O155" s="58">
        <v>45.270012258603799</v>
      </c>
      <c r="P155" s="58">
        <v>59.275417953161998</v>
      </c>
      <c r="Q155" s="58">
        <v>165.59473751085301</v>
      </c>
      <c r="R155" s="58">
        <v>356.11368953817203</v>
      </c>
      <c r="S155" s="58">
        <v>0</v>
      </c>
      <c r="T155" s="58">
        <v>0</v>
      </c>
      <c r="U155" s="58">
        <v>0.83013698369228905</v>
      </c>
      <c r="V155" s="58">
        <v>2.4109589811140002</v>
      </c>
      <c r="W155" s="59">
        <v>4.0102905242325804</v>
      </c>
      <c r="X155" s="58">
        <v>10.2913454737193</v>
      </c>
      <c r="Y155" s="58">
        <v>22.150065635453899</v>
      </c>
      <c r="Z155" s="59">
        <v>42.166341529919102</v>
      </c>
      <c r="AA155" s="58">
        <v>56.940517890737901</v>
      </c>
      <c r="AB155" s="58">
        <v>165.59473751085301</v>
      </c>
      <c r="AC155" s="58">
        <v>356.11368953817203</v>
      </c>
    </row>
    <row r="156" spans="2:29" ht="15" x14ac:dyDescent="0.25">
      <c r="B156" s="54" t="s">
        <v>295</v>
      </c>
      <c r="C156" s="54" t="s">
        <v>146</v>
      </c>
      <c r="D156" s="54" t="s">
        <v>231</v>
      </c>
      <c r="E156" s="54" t="s">
        <v>99</v>
      </c>
      <c r="F156" s="56">
        <v>6158.0378509837001</v>
      </c>
      <c r="G156" s="56">
        <v>21579.941011279901</v>
      </c>
      <c r="H156" s="57">
        <v>1350.3435109530401</v>
      </c>
      <c r="I156" s="56">
        <v>6758.4339432025699</v>
      </c>
      <c r="J156" s="56">
        <v>14003.1027386227</v>
      </c>
      <c r="K156" s="56">
        <v>24969.437523677101</v>
      </c>
      <c r="L156" s="56">
        <v>29435.7755568168</v>
      </c>
      <c r="M156" s="56">
        <v>46872.226084839298</v>
      </c>
      <c r="N156" s="57">
        <v>69798.568890390205</v>
      </c>
      <c r="O156" s="56">
        <v>97287.563911175996</v>
      </c>
      <c r="P156" s="56">
        <v>118594.99385089301</v>
      </c>
      <c r="Q156" s="56">
        <v>195081.131162726</v>
      </c>
      <c r="R156" s="56">
        <v>261030.872193335</v>
      </c>
      <c r="S156" s="56">
        <v>992.458022876565</v>
      </c>
      <c r="T156" s="56">
        <v>4967.6798204208999</v>
      </c>
      <c r="U156" s="56">
        <v>10502.708611605</v>
      </c>
      <c r="V156" s="57">
        <v>19917.563875394098</v>
      </c>
      <c r="W156" s="56">
        <v>24460.627110295402</v>
      </c>
      <c r="X156" s="56">
        <v>41707.316285649998</v>
      </c>
      <c r="Y156" s="57">
        <v>62809.847756531897</v>
      </c>
      <c r="Z156" s="57">
        <v>87356.670997383902</v>
      </c>
      <c r="AA156" s="56">
        <v>106575.620317892</v>
      </c>
      <c r="AB156" s="56">
        <v>183992.35667321799</v>
      </c>
      <c r="AC156" s="57">
        <v>250253.394634842</v>
      </c>
    </row>
    <row r="157" spans="2:29" ht="15" x14ac:dyDescent="0.25">
      <c r="B157" s="55" t="s">
        <v>296</v>
      </c>
      <c r="C157" s="55" t="s">
        <v>146</v>
      </c>
      <c r="D157" s="55" t="s">
        <v>233</v>
      </c>
      <c r="E157" s="55" t="s">
        <v>99</v>
      </c>
      <c r="F157" s="58">
        <v>38037.350275322598</v>
      </c>
      <c r="G157" s="58">
        <v>94905.136298215104</v>
      </c>
      <c r="H157" s="58">
        <v>8754.8069489418303</v>
      </c>
      <c r="I157" s="58">
        <v>44208.966637199999</v>
      </c>
      <c r="J157" s="59">
        <v>90984.089784403899</v>
      </c>
      <c r="K157" s="58">
        <v>169562.79030023501</v>
      </c>
      <c r="L157" s="58">
        <v>208801.35335726899</v>
      </c>
      <c r="M157" s="58">
        <v>315674.29385056603</v>
      </c>
      <c r="N157" s="58">
        <v>455671.67630779301</v>
      </c>
      <c r="O157" s="58">
        <v>685648.09569933196</v>
      </c>
      <c r="P157" s="58">
        <v>725670.21060235798</v>
      </c>
      <c r="Q157" s="58">
        <v>949682.874595901</v>
      </c>
      <c r="R157" s="58">
        <v>1143359.19505478</v>
      </c>
      <c r="S157" s="58">
        <v>6556.7983430622098</v>
      </c>
      <c r="T157" s="58">
        <v>31024.6944665478</v>
      </c>
      <c r="U157" s="58">
        <v>70296.545811317599</v>
      </c>
      <c r="V157" s="58">
        <v>139572.580879574</v>
      </c>
      <c r="W157" s="59">
        <v>170149.54539616499</v>
      </c>
      <c r="X157" s="58">
        <v>291742.94679853402</v>
      </c>
      <c r="Y157" s="58">
        <v>419506.97289436602</v>
      </c>
      <c r="Z157" s="59">
        <v>612714.43651500402</v>
      </c>
      <c r="AA157" s="58">
        <v>679580.29461406497</v>
      </c>
      <c r="AB157" s="58">
        <v>836515.47772767197</v>
      </c>
      <c r="AC157" s="58">
        <v>1049096.48250917</v>
      </c>
    </row>
    <row r="158" spans="2:29" ht="15" x14ac:dyDescent="0.25">
      <c r="B158" s="54" t="s">
        <v>297</v>
      </c>
      <c r="C158" s="54" t="s">
        <v>146</v>
      </c>
      <c r="D158" s="54" t="s">
        <v>298</v>
      </c>
      <c r="E158" s="54" t="s">
        <v>99</v>
      </c>
      <c r="F158" s="56">
        <v>0.73664439223164702</v>
      </c>
      <c r="G158" s="56">
        <v>10.985529790137299</v>
      </c>
      <c r="H158" s="57">
        <v>0</v>
      </c>
      <c r="I158" s="56">
        <v>0</v>
      </c>
      <c r="J158" s="56">
        <v>0</v>
      </c>
      <c r="K158" s="56">
        <v>0.91054798594491404</v>
      </c>
      <c r="L158" s="56">
        <v>1.7588968804031999</v>
      </c>
      <c r="M158" s="56">
        <v>4.87189159543599</v>
      </c>
      <c r="N158" s="57">
        <v>13.8938846722194</v>
      </c>
      <c r="O158" s="56">
        <v>29.512618604515598</v>
      </c>
      <c r="P158" s="56">
        <v>33.091776058779999</v>
      </c>
      <c r="Q158" s="56">
        <v>56.755104104925501</v>
      </c>
      <c r="R158" s="56">
        <v>109.120288315786</v>
      </c>
      <c r="S158" s="56">
        <v>0</v>
      </c>
      <c r="T158" s="56">
        <v>0</v>
      </c>
      <c r="U158" s="56">
        <v>0</v>
      </c>
      <c r="V158" s="57">
        <v>0.91054798594491404</v>
      </c>
      <c r="W158" s="56">
        <v>1.7588968804031999</v>
      </c>
      <c r="X158" s="56">
        <v>4.8219714935482099</v>
      </c>
      <c r="Y158" s="57">
        <v>13.8938846722194</v>
      </c>
      <c r="Z158" s="57">
        <v>29.1373794856008</v>
      </c>
      <c r="AA158" s="56">
        <v>33.091776058779999</v>
      </c>
      <c r="AB158" s="56">
        <v>56.755104104925501</v>
      </c>
      <c r="AC158" s="57">
        <v>109.120288315786</v>
      </c>
    </row>
    <row r="159" spans="2:29" ht="15" x14ac:dyDescent="0.25">
      <c r="B159" s="55" t="s">
        <v>299</v>
      </c>
      <c r="C159" s="55" t="s">
        <v>146</v>
      </c>
      <c r="D159" s="55" t="s">
        <v>235</v>
      </c>
      <c r="E159" s="55" t="s">
        <v>99</v>
      </c>
      <c r="F159" s="58">
        <v>117025.05851503499</v>
      </c>
      <c r="G159" s="58">
        <v>339071.96579826903</v>
      </c>
      <c r="H159" s="58">
        <v>15647.1642230626</v>
      </c>
      <c r="I159" s="58">
        <v>127298.418148746</v>
      </c>
      <c r="J159" s="59">
        <v>306947.39988209202</v>
      </c>
      <c r="K159" s="58">
        <v>560671.20772626402</v>
      </c>
      <c r="L159" s="58">
        <v>655312.98412012495</v>
      </c>
      <c r="M159" s="58">
        <v>1015891.50201869</v>
      </c>
      <c r="N159" s="58">
        <v>1517663.8637435101</v>
      </c>
      <c r="O159" s="58">
        <v>2080701.7199108</v>
      </c>
      <c r="P159" s="58">
        <v>2279739.5055837198</v>
      </c>
      <c r="Q159" s="58">
        <v>2819134.63866184</v>
      </c>
      <c r="R159" s="58">
        <v>3383489.8931716098</v>
      </c>
      <c r="S159" s="58">
        <v>11257.789433043299</v>
      </c>
      <c r="T159" s="58">
        <v>104096.13308516399</v>
      </c>
      <c r="U159" s="58">
        <v>257109.251272686</v>
      </c>
      <c r="V159" s="58">
        <v>470593.12719319097</v>
      </c>
      <c r="W159" s="59">
        <v>571716.59784829698</v>
      </c>
      <c r="X159" s="58">
        <v>909497.23419978202</v>
      </c>
      <c r="Y159" s="58">
        <v>1367895.9211718801</v>
      </c>
      <c r="Z159" s="59">
        <v>1822497.5271699501</v>
      </c>
      <c r="AA159" s="58">
        <v>1970249.5742145199</v>
      </c>
      <c r="AB159" s="58">
        <v>2517695.4697929299</v>
      </c>
      <c r="AC159" s="58">
        <v>2893740.9191116998</v>
      </c>
    </row>
    <row r="160" spans="2:29" ht="15" x14ac:dyDescent="0.25">
      <c r="B160" s="54" t="s">
        <v>300</v>
      </c>
      <c r="C160" s="54" t="s">
        <v>146</v>
      </c>
      <c r="D160" s="54" t="s">
        <v>237</v>
      </c>
      <c r="E160" s="54" t="s">
        <v>99</v>
      </c>
      <c r="F160" s="56">
        <v>134458.159378254</v>
      </c>
      <c r="G160" s="56">
        <v>237699.028022313</v>
      </c>
      <c r="H160" s="57">
        <v>54389.116318711902</v>
      </c>
      <c r="I160" s="56">
        <v>198598.15086863801</v>
      </c>
      <c r="J160" s="56">
        <v>350614.369514441</v>
      </c>
      <c r="K160" s="56">
        <v>549685.68572114303</v>
      </c>
      <c r="L160" s="56">
        <v>613600.20036002796</v>
      </c>
      <c r="M160" s="56">
        <v>804621.91553717095</v>
      </c>
      <c r="N160" s="57">
        <v>1101062.0059649299</v>
      </c>
      <c r="O160" s="56">
        <v>1415948.115792</v>
      </c>
      <c r="P160" s="56">
        <v>1505802.0675985899</v>
      </c>
      <c r="Q160" s="56">
        <v>1965674.3592300201</v>
      </c>
      <c r="R160" s="56">
        <v>2414441.2345174798</v>
      </c>
      <c r="S160" s="56">
        <v>37971.835834062898</v>
      </c>
      <c r="T160" s="56">
        <v>136197.263336517</v>
      </c>
      <c r="U160" s="56">
        <v>247919.22136648101</v>
      </c>
      <c r="V160" s="57">
        <v>415301.80976624298</v>
      </c>
      <c r="W160" s="56">
        <v>476854.50524188898</v>
      </c>
      <c r="X160" s="56">
        <v>682403.01168631995</v>
      </c>
      <c r="Y160" s="57">
        <v>907986.60299602605</v>
      </c>
      <c r="Z160" s="57">
        <v>1229446.1653690201</v>
      </c>
      <c r="AA160" s="56">
        <v>1332396.06030612</v>
      </c>
      <c r="AB160" s="56">
        <v>1734175.2887447299</v>
      </c>
      <c r="AC160" s="57">
        <v>2210589.3291489501</v>
      </c>
    </row>
    <row r="161" spans="2:29" ht="15" x14ac:dyDescent="0.25">
      <c r="B161" s="55" t="s">
        <v>301</v>
      </c>
      <c r="C161" s="55" t="s">
        <v>146</v>
      </c>
      <c r="D161" s="55" t="s">
        <v>239</v>
      </c>
      <c r="E161" s="55" t="s">
        <v>99</v>
      </c>
      <c r="F161" s="58">
        <v>618.01404753032796</v>
      </c>
      <c r="G161" s="58">
        <v>1296.0386238333899</v>
      </c>
      <c r="H161" s="58">
        <v>193.256698691975</v>
      </c>
      <c r="I161" s="58">
        <v>899.04181785507797</v>
      </c>
      <c r="J161" s="59">
        <v>1671.8538943634301</v>
      </c>
      <c r="K161" s="58">
        <v>2589.7990991451902</v>
      </c>
      <c r="L161" s="58">
        <v>2915.0127240299898</v>
      </c>
      <c r="M161" s="58">
        <v>4105.9830487048102</v>
      </c>
      <c r="N161" s="58">
        <v>5507.23970605458</v>
      </c>
      <c r="O161" s="58">
        <v>6964.6596774550399</v>
      </c>
      <c r="P161" s="58">
        <v>8090.4023980293796</v>
      </c>
      <c r="Q161" s="58">
        <v>10586.1172663671</v>
      </c>
      <c r="R161" s="58">
        <v>13780.0979367286</v>
      </c>
      <c r="S161" s="58">
        <v>136.97699444966099</v>
      </c>
      <c r="T161" s="58">
        <v>601.13641042968504</v>
      </c>
      <c r="U161" s="58">
        <v>1246.0491543696601</v>
      </c>
      <c r="V161" s="58">
        <v>2109.6244374252801</v>
      </c>
      <c r="W161" s="59">
        <v>2320.12842685039</v>
      </c>
      <c r="X161" s="58">
        <v>3547.0405662991402</v>
      </c>
      <c r="Y161" s="58">
        <v>4641.2162398577302</v>
      </c>
      <c r="Z161" s="59">
        <v>6295.8901491205197</v>
      </c>
      <c r="AA161" s="58">
        <v>7181.7409462758897</v>
      </c>
      <c r="AB161" s="58">
        <v>9957.9595286304593</v>
      </c>
      <c r="AC161" s="58">
        <v>12607.584006946599</v>
      </c>
    </row>
    <row r="162" spans="2:29" ht="15" x14ac:dyDescent="0.25">
      <c r="B162" s="54" t="s">
        <v>302</v>
      </c>
      <c r="C162" s="54" t="s">
        <v>146</v>
      </c>
      <c r="D162" s="54" t="s">
        <v>241</v>
      </c>
      <c r="E162" s="54" t="s">
        <v>99</v>
      </c>
      <c r="F162" s="56">
        <v>530447.89956676599</v>
      </c>
      <c r="G162" s="56">
        <v>1524137.28800783</v>
      </c>
      <c r="H162" s="57">
        <v>104279.52432195999</v>
      </c>
      <c r="I162" s="56">
        <v>619361.21868907695</v>
      </c>
      <c r="J162" s="56">
        <v>1339098.8970916299</v>
      </c>
      <c r="K162" s="56">
        <v>2239368.1241657701</v>
      </c>
      <c r="L162" s="56">
        <v>2667692.89501087</v>
      </c>
      <c r="M162" s="56">
        <v>4220703.3807278099</v>
      </c>
      <c r="N162" s="57">
        <v>6474576.1538051004</v>
      </c>
      <c r="O162" s="56">
        <v>9115880.7191354707</v>
      </c>
      <c r="P162" s="56">
        <v>9752439.7410000507</v>
      </c>
      <c r="Q162" s="56">
        <v>13263977.301885899</v>
      </c>
      <c r="R162" s="56">
        <v>16565616.6909169</v>
      </c>
      <c r="S162" s="56">
        <v>78711.241803217999</v>
      </c>
      <c r="T162" s="56">
        <v>454871.88737631001</v>
      </c>
      <c r="U162" s="56">
        <v>1043941.69900077</v>
      </c>
      <c r="V162" s="57">
        <v>1919763.89635988</v>
      </c>
      <c r="W162" s="56">
        <v>2211093.1998962699</v>
      </c>
      <c r="X162" s="56">
        <v>3788650.1183128501</v>
      </c>
      <c r="Y162" s="57">
        <v>6260737.2049529403</v>
      </c>
      <c r="Z162" s="57">
        <v>8546218.7022816706</v>
      </c>
      <c r="AA162" s="56">
        <v>9541320.3711553905</v>
      </c>
      <c r="AB162" s="56">
        <v>11989432.118032699</v>
      </c>
      <c r="AC162" s="57">
        <v>15951439.7259582</v>
      </c>
    </row>
    <row r="163" spans="2:29" ht="15" x14ac:dyDescent="0.25">
      <c r="B163" s="55" t="s">
        <v>303</v>
      </c>
      <c r="C163" s="55" t="s">
        <v>146</v>
      </c>
      <c r="D163" s="55" t="s">
        <v>243</v>
      </c>
      <c r="E163" s="55" t="s">
        <v>99</v>
      </c>
      <c r="F163" s="58">
        <v>604387.28599584498</v>
      </c>
      <c r="G163" s="58">
        <v>912780.89429010602</v>
      </c>
      <c r="H163" s="58">
        <v>306752.37823912699</v>
      </c>
      <c r="I163" s="58">
        <v>908145.53815563198</v>
      </c>
      <c r="J163" s="59">
        <v>1459546.95376207</v>
      </c>
      <c r="K163" s="58">
        <v>2192299.6195061398</v>
      </c>
      <c r="L163" s="58">
        <v>2439912.7103007198</v>
      </c>
      <c r="M163" s="58">
        <v>3289386.5271185399</v>
      </c>
      <c r="N163" s="58">
        <v>4340553.08384817</v>
      </c>
      <c r="O163" s="58">
        <v>5598783.1834201198</v>
      </c>
      <c r="P163" s="58">
        <v>6376505.2594186896</v>
      </c>
      <c r="Q163" s="58">
        <v>8100012.1475208905</v>
      </c>
      <c r="R163" s="58">
        <v>9205399.7933031991</v>
      </c>
      <c r="S163" s="58">
        <v>184220.47906978699</v>
      </c>
      <c r="T163" s="58">
        <v>531606.43516735395</v>
      </c>
      <c r="U163" s="58">
        <v>937347.15044916095</v>
      </c>
      <c r="V163" s="58">
        <v>1570797.65311885</v>
      </c>
      <c r="W163" s="59">
        <v>1833631.1041959401</v>
      </c>
      <c r="X163" s="58">
        <v>2663894.1903467299</v>
      </c>
      <c r="Y163" s="58">
        <v>3653355.8560428098</v>
      </c>
      <c r="Z163" s="59">
        <v>4937570.7896323996</v>
      </c>
      <c r="AA163" s="58">
        <v>5376206.3615106</v>
      </c>
      <c r="AB163" s="58">
        <v>7174019.0533665298</v>
      </c>
      <c r="AC163" s="58">
        <v>8425911.5030670799</v>
      </c>
    </row>
    <row r="164" spans="2:29" ht="15" x14ac:dyDescent="0.25">
      <c r="B164" s="54" t="s">
        <v>304</v>
      </c>
      <c r="C164" s="54" t="s">
        <v>146</v>
      </c>
      <c r="D164" s="54" t="s">
        <v>245</v>
      </c>
      <c r="E164" s="54" t="s">
        <v>99</v>
      </c>
      <c r="F164" s="56">
        <v>1190.3949253314099</v>
      </c>
      <c r="G164" s="56">
        <v>2594.1856727320901</v>
      </c>
      <c r="H164" s="57">
        <v>464.42807508393599</v>
      </c>
      <c r="I164" s="56">
        <v>1667.3483563689299</v>
      </c>
      <c r="J164" s="56">
        <v>2790.2624657258202</v>
      </c>
      <c r="K164" s="56">
        <v>4539.2178903025397</v>
      </c>
      <c r="L164" s="56">
        <v>5187.7441637989104</v>
      </c>
      <c r="M164" s="56">
        <v>7433.1138356939</v>
      </c>
      <c r="N164" s="57">
        <v>10425.286762359799</v>
      </c>
      <c r="O164" s="56">
        <v>15336.704455757899</v>
      </c>
      <c r="P164" s="56">
        <v>16339.161902894</v>
      </c>
      <c r="Q164" s="56">
        <v>24370.456133981301</v>
      </c>
      <c r="R164" s="56">
        <v>31578.6440677961</v>
      </c>
      <c r="S164" s="56">
        <v>314.75198992891097</v>
      </c>
      <c r="T164" s="56">
        <v>1101.7700629654601</v>
      </c>
      <c r="U164" s="56">
        <v>1994.9380684739699</v>
      </c>
      <c r="V164" s="57">
        <v>3593.9503943346799</v>
      </c>
      <c r="W164" s="56">
        <v>4090.3657983040898</v>
      </c>
      <c r="X164" s="56">
        <v>6192.1218996430898</v>
      </c>
      <c r="Y164" s="57">
        <v>9234.4013422998996</v>
      </c>
      <c r="Z164" s="57">
        <v>14135.6385541693</v>
      </c>
      <c r="AA164" s="56">
        <v>15941.972316200699</v>
      </c>
      <c r="AB164" s="56">
        <v>23495.855493337102</v>
      </c>
      <c r="AC164" s="57">
        <v>28946.876832505699</v>
      </c>
    </row>
    <row r="165" spans="2:29" ht="15" x14ac:dyDescent="0.25">
      <c r="B165" s="55" t="s">
        <v>305</v>
      </c>
      <c r="C165" s="55" t="s">
        <v>146</v>
      </c>
      <c r="D165" s="55" t="s">
        <v>247</v>
      </c>
      <c r="E165" s="55" t="s">
        <v>99</v>
      </c>
      <c r="F165" s="58">
        <v>481168.08249899698</v>
      </c>
      <c r="G165" s="58">
        <v>1470150.8526083401</v>
      </c>
      <c r="H165" s="58">
        <v>79963.133466627594</v>
      </c>
      <c r="I165" s="58">
        <v>548713.42898659501</v>
      </c>
      <c r="J165" s="59">
        <v>1170926.12475776</v>
      </c>
      <c r="K165" s="58">
        <v>2140824.62095033</v>
      </c>
      <c r="L165" s="58">
        <v>2548402.1882740399</v>
      </c>
      <c r="M165" s="58">
        <v>3982662.1860848102</v>
      </c>
      <c r="N165" s="58">
        <v>5777107.16432912</v>
      </c>
      <c r="O165" s="58">
        <v>8609079.5071947407</v>
      </c>
      <c r="P165" s="58">
        <v>9850823.4448936507</v>
      </c>
      <c r="Q165" s="58">
        <v>12602394.2168373</v>
      </c>
      <c r="R165" s="58">
        <v>16593174.9667845</v>
      </c>
      <c r="S165" s="58">
        <v>59651.736099411501</v>
      </c>
      <c r="T165" s="58">
        <v>429951.87720829097</v>
      </c>
      <c r="U165" s="58">
        <v>933450.03117527894</v>
      </c>
      <c r="V165" s="58">
        <v>1781516.3435694301</v>
      </c>
      <c r="W165" s="59">
        <v>2157849.2041218998</v>
      </c>
      <c r="X165" s="58">
        <v>3414313.7239217302</v>
      </c>
      <c r="Y165" s="58">
        <v>5269462.40698101</v>
      </c>
      <c r="Z165" s="59">
        <v>7284924.4929710301</v>
      </c>
      <c r="AA165" s="58">
        <v>9174405.8232346997</v>
      </c>
      <c r="AB165" s="58">
        <v>11715873.335599</v>
      </c>
      <c r="AC165" s="58">
        <v>15225767.167171501</v>
      </c>
    </row>
    <row r="166" spans="2:29" ht="15" x14ac:dyDescent="0.25">
      <c r="B166" s="54" t="s">
        <v>306</v>
      </c>
      <c r="C166" s="54" t="s">
        <v>146</v>
      </c>
      <c r="D166" s="54" t="s">
        <v>249</v>
      </c>
      <c r="E166" s="54" t="s">
        <v>99</v>
      </c>
      <c r="F166" s="56">
        <v>308066.57085123297</v>
      </c>
      <c r="G166" s="56">
        <v>503947.67976536101</v>
      </c>
      <c r="H166" s="57">
        <v>143969.99031649699</v>
      </c>
      <c r="I166" s="56">
        <v>469467.19267986203</v>
      </c>
      <c r="J166" s="56">
        <v>784941.94629504101</v>
      </c>
      <c r="K166" s="56">
        <v>1187710.0496785699</v>
      </c>
      <c r="L166" s="56">
        <v>1330336.77151091</v>
      </c>
      <c r="M166" s="56">
        <v>1687527.5499131901</v>
      </c>
      <c r="N166" s="57">
        <v>2277246.5336322598</v>
      </c>
      <c r="O166" s="56">
        <v>2861005.8714260198</v>
      </c>
      <c r="P166" s="56">
        <v>3197274.3933371198</v>
      </c>
      <c r="Q166" s="56">
        <v>3931805.7121297698</v>
      </c>
      <c r="R166" s="56">
        <v>5027049.05461971</v>
      </c>
      <c r="S166" s="56">
        <v>95489.4864142976</v>
      </c>
      <c r="T166" s="56">
        <v>302083.03281958599</v>
      </c>
      <c r="U166" s="56">
        <v>531693.52089218795</v>
      </c>
      <c r="V166" s="57">
        <v>854973.40858726599</v>
      </c>
      <c r="W166" s="56">
        <v>990244.08701437502</v>
      </c>
      <c r="X166" s="56">
        <v>1390393.0997312099</v>
      </c>
      <c r="Y166" s="57">
        <v>1865936.75416736</v>
      </c>
      <c r="Z166" s="57">
        <v>2541820.59913023</v>
      </c>
      <c r="AA166" s="56">
        <v>2724535.0664259698</v>
      </c>
      <c r="AB166" s="56">
        <v>3693434.01629702</v>
      </c>
      <c r="AC166" s="57">
        <v>4989785.6513545802</v>
      </c>
    </row>
    <row r="167" spans="2:29" ht="15" x14ac:dyDescent="0.25">
      <c r="B167" s="55" t="s">
        <v>307</v>
      </c>
      <c r="C167" s="55" t="s">
        <v>146</v>
      </c>
      <c r="D167" s="55" t="s">
        <v>251</v>
      </c>
      <c r="E167" s="55" t="s">
        <v>99</v>
      </c>
      <c r="F167" s="58">
        <v>869646.75257195497</v>
      </c>
      <c r="G167" s="58">
        <v>2597525.9575151801</v>
      </c>
      <c r="H167" s="58">
        <v>172148.209803412</v>
      </c>
      <c r="I167" s="58">
        <v>953623.24544063199</v>
      </c>
      <c r="J167" s="59">
        <v>2124821.69478293</v>
      </c>
      <c r="K167" s="58">
        <v>3803297.3344375999</v>
      </c>
      <c r="L167" s="58">
        <v>4396698.0407372704</v>
      </c>
      <c r="M167" s="58">
        <v>6910704.0403756499</v>
      </c>
      <c r="N167" s="58">
        <v>10505700.890477501</v>
      </c>
      <c r="O167" s="58">
        <v>14960419.264357099</v>
      </c>
      <c r="P167" s="58">
        <v>18131044.0457201</v>
      </c>
      <c r="Q167" s="58">
        <v>26250997.734475698</v>
      </c>
      <c r="R167" s="58">
        <v>34341819.831176102</v>
      </c>
      <c r="S167" s="58">
        <v>120938.630205897</v>
      </c>
      <c r="T167" s="58">
        <v>695899.420684646</v>
      </c>
      <c r="U167" s="58">
        <v>1679213.0592378899</v>
      </c>
      <c r="V167" s="58">
        <v>3189779.6821073801</v>
      </c>
      <c r="W167" s="59">
        <v>3809061.0783253</v>
      </c>
      <c r="X167" s="58">
        <v>6364144.59894975</v>
      </c>
      <c r="Y167" s="58">
        <v>9723273.6316871308</v>
      </c>
      <c r="Z167" s="59">
        <v>13902750.363924401</v>
      </c>
      <c r="AA167" s="58">
        <v>16597479.103697101</v>
      </c>
      <c r="AB167" s="58">
        <v>24935473.679211501</v>
      </c>
      <c r="AC167" s="58">
        <v>34324784.72947</v>
      </c>
    </row>
    <row r="168" spans="2:29" ht="15" x14ac:dyDescent="0.25">
      <c r="B168" s="54" t="s">
        <v>308</v>
      </c>
      <c r="C168" s="54" t="s">
        <v>146</v>
      </c>
      <c r="D168" s="54" t="s">
        <v>253</v>
      </c>
      <c r="E168" s="54" t="s">
        <v>99</v>
      </c>
      <c r="F168" s="56">
        <v>45.4786347046266</v>
      </c>
      <c r="G168" s="56">
        <v>241.95669659677301</v>
      </c>
      <c r="H168" s="57">
        <v>0</v>
      </c>
      <c r="I168" s="56">
        <v>26.457557620588101</v>
      </c>
      <c r="J168" s="56">
        <v>87.067558290230195</v>
      </c>
      <c r="K168" s="56">
        <v>192.18064841216599</v>
      </c>
      <c r="L168" s="56">
        <v>251.67848314743401</v>
      </c>
      <c r="M168" s="56">
        <v>505.00976265735801</v>
      </c>
      <c r="N168" s="57">
        <v>797.94310298052403</v>
      </c>
      <c r="O168" s="56">
        <v>1112.90274834822</v>
      </c>
      <c r="P168" s="56">
        <v>1350.4706411401</v>
      </c>
      <c r="Q168" s="56">
        <v>2087.0890352614601</v>
      </c>
      <c r="R168" s="56">
        <v>2788.6786463312501</v>
      </c>
      <c r="S168" s="56">
        <v>0</v>
      </c>
      <c r="T168" s="56">
        <v>25.711506311004801</v>
      </c>
      <c r="U168" s="56">
        <v>80.620861372713605</v>
      </c>
      <c r="V168" s="57">
        <v>178.270002429508</v>
      </c>
      <c r="W168" s="56">
        <v>222.888479568561</v>
      </c>
      <c r="X168" s="56">
        <v>485.117315126096</v>
      </c>
      <c r="Y168" s="57">
        <v>750.90380362108601</v>
      </c>
      <c r="Z168" s="57">
        <v>1104.5177663591401</v>
      </c>
      <c r="AA168" s="56">
        <v>1285.97046855688</v>
      </c>
      <c r="AB168" s="56">
        <v>2087.0890352614601</v>
      </c>
      <c r="AC168" s="57">
        <v>2778.3813562467799</v>
      </c>
    </row>
    <row r="169" spans="2:29" ht="15" x14ac:dyDescent="0.25">
      <c r="B169" s="55" t="s">
        <v>309</v>
      </c>
      <c r="C169" s="55" t="s">
        <v>146</v>
      </c>
      <c r="D169" s="55" t="s">
        <v>255</v>
      </c>
      <c r="E169" s="55" t="s">
        <v>99</v>
      </c>
      <c r="F169" s="58">
        <v>19877.2080327029</v>
      </c>
      <c r="G169" s="58">
        <v>68961.028771418001</v>
      </c>
      <c r="H169" s="58">
        <v>3308.0890758901501</v>
      </c>
      <c r="I169" s="58">
        <v>17419.758482085999</v>
      </c>
      <c r="J169" s="59">
        <v>43809.450175443497</v>
      </c>
      <c r="K169" s="58">
        <v>89735.115991922299</v>
      </c>
      <c r="L169" s="58">
        <v>108159.570356204</v>
      </c>
      <c r="M169" s="58">
        <v>173786.16665369199</v>
      </c>
      <c r="N169" s="58">
        <v>266430.93976070301</v>
      </c>
      <c r="O169" s="58">
        <v>408893.657999888</v>
      </c>
      <c r="P169" s="58">
        <v>472655.01880039601</v>
      </c>
      <c r="Q169" s="58">
        <v>661553.78573513601</v>
      </c>
      <c r="R169" s="58">
        <v>813270.251088719</v>
      </c>
      <c r="S169" s="58">
        <v>2131.1511220059901</v>
      </c>
      <c r="T169" s="58">
        <v>12529.797021873401</v>
      </c>
      <c r="U169" s="58">
        <v>35821.343573896404</v>
      </c>
      <c r="V169" s="58">
        <v>76819.085680598699</v>
      </c>
      <c r="W169" s="59">
        <v>93307.899861953701</v>
      </c>
      <c r="X169" s="58">
        <v>158544.16585683799</v>
      </c>
      <c r="Y169" s="58">
        <v>241272.68650196801</v>
      </c>
      <c r="Z169" s="59">
        <v>398290.16684246599</v>
      </c>
      <c r="AA169" s="58">
        <v>438584.865460745</v>
      </c>
      <c r="AB169" s="58">
        <v>621878.43071828701</v>
      </c>
      <c r="AC169" s="58">
        <v>801165.64792720205</v>
      </c>
    </row>
    <row r="170" spans="2:29" ht="15" x14ac:dyDescent="0.25">
      <c r="B170" s="54" t="s">
        <v>310</v>
      </c>
      <c r="C170" s="54" t="s">
        <v>146</v>
      </c>
      <c r="D170" s="54" t="s">
        <v>257</v>
      </c>
      <c r="E170" s="54" t="s">
        <v>99</v>
      </c>
      <c r="F170" s="56">
        <v>215.18814163347099</v>
      </c>
      <c r="G170" s="56">
        <v>1829.4578640654099</v>
      </c>
      <c r="H170" s="57">
        <v>0</v>
      </c>
      <c r="I170" s="56">
        <v>5.4117891450744304</v>
      </c>
      <c r="J170" s="56">
        <v>63.494462234489802</v>
      </c>
      <c r="K170" s="56">
        <v>492.45225056293299</v>
      </c>
      <c r="L170" s="56">
        <v>872.39403339742103</v>
      </c>
      <c r="M170" s="56">
        <v>2821.3780379280302</v>
      </c>
      <c r="N170" s="57">
        <v>4796.1232489317399</v>
      </c>
      <c r="O170" s="56">
        <v>9096.8569761770195</v>
      </c>
      <c r="P170" s="56">
        <v>11750.364860837901</v>
      </c>
      <c r="Q170" s="56">
        <v>16004.017680912701</v>
      </c>
      <c r="R170" s="56">
        <v>23473.907818648699</v>
      </c>
      <c r="S170" s="56">
        <v>0</v>
      </c>
      <c r="T170" s="56">
        <v>5.4117891450744304</v>
      </c>
      <c r="U170" s="56">
        <v>60.6496728452139</v>
      </c>
      <c r="V170" s="57">
        <v>470.22035665261899</v>
      </c>
      <c r="W170" s="56">
        <v>866.99021366562295</v>
      </c>
      <c r="X170" s="56">
        <v>2747.3649196813199</v>
      </c>
      <c r="Y170" s="57">
        <v>4760.3914183124398</v>
      </c>
      <c r="Z170" s="57">
        <v>8649.8831175209998</v>
      </c>
      <c r="AA170" s="56">
        <v>11750.364860837901</v>
      </c>
      <c r="AB170" s="56">
        <v>16004.017680912701</v>
      </c>
      <c r="AC170" s="57">
        <v>23473.907818648699</v>
      </c>
    </row>
    <row r="171" spans="2:29" ht="15" x14ac:dyDescent="0.25">
      <c r="B171" s="55" t="s">
        <v>311</v>
      </c>
      <c r="C171" s="55" t="s">
        <v>146</v>
      </c>
      <c r="D171" s="55" t="s">
        <v>259</v>
      </c>
      <c r="E171" s="55" t="s">
        <v>99</v>
      </c>
      <c r="F171" s="58">
        <v>2643.2624742961898</v>
      </c>
      <c r="G171" s="58">
        <v>19343.332492213001</v>
      </c>
      <c r="H171" s="58">
        <v>0</v>
      </c>
      <c r="I171" s="58">
        <v>757.28280894099498</v>
      </c>
      <c r="J171" s="59">
        <v>3107.0728563542998</v>
      </c>
      <c r="K171" s="58">
        <v>8734.7533502816405</v>
      </c>
      <c r="L171" s="58">
        <v>11470.5560985468</v>
      </c>
      <c r="M171" s="58">
        <v>24166.994297192101</v>
      </c>
      <c r="N171" s="58">
        <v>47078.816492639402</v>
      </c>
      <c r="O171" s="58">
        <v>84543.335057154196</v>
      </c>
      <c r="P171" s="58">
        <v>111421.442637411</v>
      </c>
      <c r="Q171" s="58">
        <v>223269.32288074301</v>
      </c>
      <c r="R171" s="58">
        <v>368751.517543856</v>
      </c>
      <c r="S171" s="58">
        <v>0</v>
      </c>
      <c r="T171" s="58">
        <v>668.05388301543303</v>
      </c>
      <c r="U171" s="58">
        <v>2890.5913210071399</v>
      </c>
      <c r="V171" s="58">
        <v>8244.7948241385602</v>
      </c>
      <c r="W171" s="59">
        <v>10740.945730797401</v>
      </c>
      <c r="X171" s="58">
        <v>23102.887460542701</v>
      </c>
      <c r="Y171" s="58">
        <v>44988.056399939698</v>
      </c>
      <c r="Z171" s="59">
        <v>82899.674383330101</v>
      </c>
      <c r="AA171" s="58">
        <v>111055.70963740601</v>
      </c>
      <c r="AB171" s="58">
        <v>209514.92031943201</v>
      </c>
      <c r="AC171" s="58">
        <v>368751.517543856</v>
      </c>
    </row>
    <row r="172" spans="2:29" ht="15" x14ac:dyDescent="0.25">
      <c r="B172" s="54" t="s">
        <v>312</v>
      </c>
      <c r="C172" s="54" t="s">
        <v>146</v>
      </c>
      <c r="D172" s="54" t="s">
        <v>261</v>
      </c>
      <c r="E172" s="54" t="s">
        <v>99</v>
      </c>
      <c r="F172" s="56">
        <v>0.98328793425234196</v>
      </c>
      <c r="G172" s="56">
        <v>11.694269533135</v>
      </c>
      <c r="H172" s="57">
        <v>0</v>
      </c>
      <c r="I172" s="56">
        <v>0</v>
      </c>
      <c r="J172" s="56">
        <v>0</v>
      </c>
      <c r="K172" s="56">
        <v>1.17789541171413</v>
      </c>
      <c r="L172" s="56">
        <v>2.47125975011891</v>
      </c>
      <c r="M172" s="56">
        <v>7.8394457883348698</v>
      </c>
      <c r="N172" s="57">
        <v>17.640922672977101</v>
      </c>
      <c r="O172" s="56">
        <v>40.224735816073498</v>
      </c>
      <c r="P172" s="56">
        <v>50.719703628603099</v>
      </c>
      <c r="Q172" s="56">
        <v>95.5068059756331</v>
      </c>
      <c r="R172" s="56">
        <v>185.12972881105901</v>
      </c>
      <c r="S172" s="56">
        <v>0</v>
      </c>
      <c r="T172" s="56">
        <v>0</v>
      </c>
      <c r="U172" s="56">
        <v>0</v>
      </c>
      <c r="V172" s="57">
        <v>1.17789541171413</v>
      </c>
      <c r="W172" s="56">
        <v>2.47125975011891</v>
      </c>
      <c r="X172" s="56">
        <v>7.8394457883348698</v>
      </c>
      <c r="Y172" s="57">
        <v>16.872349240302899</v>
      </c>
      <c r="Z172" s="57">
        <v>40.224735816073498</v>
      </c>
      <c r="AA172" s="56">
        <v>50.719703628603099</v>
      </c>
      <c r="AB172" s="56">
        <v>93.560337131244694</v>
      </c>
      <c r="AC172" s="57">
        <v>185.12972881105901</v>
      </c>
    </row>
    <row r="173" spans="2:29" ht="15" x14ac:dyDescent="0.25">
      <c r="B173" s="55" t="s">
        <v>313</v>
      </c>
      <c r="C173" s="55" t="s">
        <v>146</v>
      </c>
      <c r="D173" s="55" t="s">
        <v>263</v>
      </c>
      <c r="E173" s="55" t="s">
        <v>99</v>
      </c>
      <c r="F173" s="58">
        <v>288.60229576980799</v>
      </c>
      <c r="G173" s="58">
        <v>10113.2080173834</v>
      </c>
      <c r="H173" s="58">
        <v>0</v>
      </c>
      <c r="I173" s="58">
        <v>0</v>
      </c>
      <c r="J173" s="59">
        <v>0</v>
      </c>
      <c r="K173" s="58">
        <v>76.449374174167602</v>
      </c>
      <c r="L173" s="58">
        <v>231.45498680761</v>
      </c>
      <c r="M173" s="58">
        <v>725.71977517387904</v>
      </c>
      <c r="N173" s="58">
        <v>2338.8131789888898</v>
      </c>
      <c r="O173" s="58">
        <v>7839.4280659420401</v>
      </c>
      <c r="P173" s="58">
        <v>9786.1966788214595</v>
      </c>
      <c r="Q173" s="58">
        <v>18347.134243596302</v>
      </c>
      <c r="R173" s="58">
        <v>25748.225234021102</v>
      </c>
      <c r="S173" s="58">
        <v>0</v>
      </c>
      <c r="T173" s="58">
        <v>0</v>
      </c>
      <c r="U173" s="58">
        <v>0</v>
      </c>
      <c r="V173" s="58">
        <v>76.449374174167602</v>
      </c>
      <c r="W173" s="59">
        <v>222.45870189772199</v>
      </c>
      <c r="X173" s="58">
        <v>706.06309669230097</v>
      </c>
      <c r="Y173" s="58">
        <v>2296.9742016792302</v>
      </c>
      <c r="Z173" s="59">
        <v>7799.5320745088802</v>
      </c>
      <c r="AA173" s="58">
        <v>9786.1966788214595</v>
      </c>
      <c r="AB173" s="58">
        <v>18347.134243596302</v>
      </c>
      <c r="AC173" s="58">
        <v>25748.225234021102</v>
      </c>
    </row>
    <row r="174" spans="2:29" ht="15" x14ac:dyDescent="0.25">
      <c r="B174" s="54" t="s">
        <v>314</v>
      </c>
      <c r="C174" s="54" t="s">
        <v>146</v>
      </c>
      <c r="D174" s="54" t="s">
        <v>265</v>
      </c>
      <c r="E174" s="54" t="s">
        <v>99</v>
      </c>
      <c r="F174" s="56">
        <v>566.34203090146502</v>
      </c>
      <c r="G174" s="56">
        <v>3200.4508196439801</v>
      </c>
      <c r="H174" s="57">
        <v>17.042180763511301</v>
      </c>
      <c r="I174" s="56">
        <v>275.16117021431</v>
      </c>
      <c r="J174" s="56">
        <v>951.69760921777799</v>
      </c>
      <c r="K174" s="56">
        <v>2322.8103992985998</v>
      </c>
      <c r="L174" s="56">
        <v>2966.0837744856299</v>
      </c>
      <c r="M174" s="56">
        <v>5847.8971008034296</v>
      </c>
      <c r="N174" s="57">
        <v>9702.6795430244802</v>
      </c>
      <c r="O174" s="56">
        <v>15815.9631369464</v>
      </c>
      <c r="P174" s="56">
        <v>17789.565563158201</v>
      </c>
      <c r="Q174" s="56">
        <v>28730.5429209219</v>
      </c>
      <c r="R174" s="56">
        <v>44675.944285651698</v>
      </c>
      <c r="S174" s="56">
        <v>16.743548223024899</v>
      </c>
      <c r="T174" s="56">
        <v>224.651656286942</v>
      </c>
      <c r="U174" s="56">
        <v>843.05754365455198</v>
      </c>
      <c r="V174" s="57">
        <v>2140.11531716746</v>
      </c>
      <c r="W174" s="56">
        <v>2792.5723165476402</v>
      </c>
      <c r="X174" s="56">
        <v>5600.2769223019304</v>
      </c>
      <c r="Y174" s="57">
        <v>9425.8257333392903</v>
      </c>
      <c r="Z174" s="57">
        <v>15540.5471063564</v>
      </c>
      <c r="AA174" s="56">
        <v>17499.2902276815</v>
      </c>
      <c r="AB174" s="56">
        <v>28497.0786900608</v>
      </c>
      <c r="AC174" s="57">
        <v>44658.462813513797</v>
      </c>
    </row>
    <row r="175" spans="2:29" ht="15" x14ac:dyDescent="0.25">
      <c r="B175" s="55" t="s">
        <v>315</v>
      </c>
      <c r="C175" s="55" t="s">
        <v>146</v>
      </c>
      <c r="D175" s="55" t="s">
        <v>267</v>
      </c>
      <c r="E175" s="55" t="s">
        <v>99</v>
      </c>
      <c r="F175" s="58">
        <v>27929.930919262999</v>
      </c>
      <c r="G175" s="58">
        <v>83002.870241024706</v>
      </c>
      <c r="H175" s="58">
        <v>5081.04202444575</v>
      </c>
      <c r="I175" s="58">
        <v>31528.869431678198</v>
      </c>
      <c r="J175" s="59">
        <v>66079.952748478405</v>
      </c>
      <c r="K175" s="58">
        <v>118191.37570596499</v>
      </c>
      <c r="L175" s="58">
        <v>139201.22369629299</v>
      </c>
      <c r="M175" s="58">
        <v>213211.10968892201</v>
      </c>
      <c r="N175" s="58">
        <v>332052.981555067</v>
      </c>
      <c r="O175" s="58">
        <v>519001.37893652398</v>
      </c>
      <c r="P175" s="58">
        <v>687069.35071818298</v>
      </c>
      <c r="Q175" s="58">
        <v>1032282.45660168</v>
      </c>
      <c r="R175" s="58">
        <v>1209670.4186302</v>
      </c>
      <c r="S175" s="58">
        <v>3783.36938406014</v>
      </c>
      <c r="T175" s="58">
        <v>23909.904847169899</v>
      </c>
      <c r="U175" s="58">
        <v>51356.443605156601</v>
      </c>
      <c r="V175" s="58">
        <v>91623.855591878499</v>
      </c>
      <c r="W175" s="59">
        <v>113082.856777373</v>
      </c>
      <c r="X175" s="58">
        <v>185854.772192387</v>
      </c>
      <c r="Y175" s="58">
        <v>295116.62655612099</v>
      </c>
      <c r="Z175" s="59">
        <v>480657.97283626499</v>
      </c>
      <c r="AA175" s="58">
        <v>596667.43638702005</v>
      </c>
      <c r="AB175" s="58">
        <v>957458.81292072404</v>
      </c>
      <c r="AC175" s="58">
        <v>1207883.83943267</v>
      </c>
    </row>
    <row r="176" spans="2:29" ht="15" x14ac:dyDescent="0.25">
      <c r="B176" s="54" t="s">
        <v>316</v>
      </c>
      <c r="C176" s="54" t="s">
        <v>146</v>
      </c>
      <c r="D176" s="54" t="s">
        <v>269</v>
      </c>
      <c r="E176" s="54" t="s">
        <v>99</v>
      </c>
      <c r="F176" s="56">
        <v>70.487157528687902</v>
      </c>
      <c r="G176" s="56">
        <v>875.933562091525</v>
      </c>
      <c r="H176" s="57">
        <v>0</v>
      </c>
      <c r="I176" s="56">
        <v>0</v>
      </c>
      <c r="J176" s="56">
        <v>0</v>
      </c>
      <c r="K176" s="56">
        <v>88.163448118458902</v>
      </c>
      <c r="L176" s="56">
        <v>136.86689398629201</v>
      </c>
      <c r="M176" s="56">
        <v>457.64401251200502</v>
      </c>
      <c r="N176" s="57">
        <v>1187.1765779637799</v>
      </c>
      <c r="O176" s="56">
        <v>2656.4131997940999</v>
      </c>
      <c r="P176" s="56">
        <v>3748.5167469183598</v>
      </c>
      <c r="Q176" s="56">
        <v>6329.5979628518899</v>
      </c>
      <c r="R176" s="56">
        <v>14891.1188314844</v>
      </c>
      <c r="S176" s="56">
        <v>0</v>
      </c>
      <c r="T176" s="56">
        <v>0</v>
      </c>
      <c r="U176" s="56">
        <v>0</v>
      </c>
      <c r="V176" s="57">
        <v>86.841096233326198</v>
      </c>
      <c r="W176" s="56">
        <v>133.447753577295</v>
      </c>
      <c r="X176" s="56">
        <v>434.19706271793302</v>
      </c>
      <c r="Y176" s="57">
        <v>1140.9352152992301</v>
      </c>
      <c r="Z176" s="57">
        <v>2627.1564166060498</v>
      </c>
      <c r="AA176" s="56">
        <v>3748.5167469183598</v>
      </c>
      <c r="AB176" s="56">
        <v>6329.5979628518899</v>
      </c>
      <c r="AC176" s="57">
        <v>14891.1188314844</v>
      </c>
    </row>
    <row r="177" spans="2:29" ht="15" x14ac:dyDescent="0.25">
      <c r="B177" s="55" t="s">
        <v>317</v>
      </c>
      <c r="C177" s="55" t="s">
        <v>146</v>
      </c>
      <c r="D177" s="55" t="s">
        <v>271</v>
      </c>
      <c r="E177" s="55" t="s">
        <v>99</v>
      </c>
      <c r="F177" s="58">
        <v>105.376409557676</v>
      </c>
      <c r="G177" s="58">
        <v>1222.5200788643999</v>
      </c>
      <c r="H177" s="58">
        <v>0</v>
      </c>
      <c r="I177" s="58">
        <v>4.4931507043074399</v>
      </c>
      <c r="J177" s="59">
        <v>22.105479118939801</v>
      </c>
      <c r="K177" s="58">
        <v>123.319854163215</v>
      </c>
      <c r="L177" s="58">
        <v>189.88621411537801</v>
      </c>
      <c r="M177" s="58">
        <v>717.64111199889498</v>
      </c>
      <c r="N177" s="58">
        <v>1810.90897996336</v>
      </c>
      <c r="O177" s="58">
        <v>4028.37316668118</v>
      </c>
      <c r="P177" s="58">
        <v>5928.2905388709896</v>
      </c>
      <c r="Q177" s="58">
        <v>12219.97211404</v>
      </c>
      <c r="R177" s="58">
        <v>20321.511085014499</v>
      </c>
      <c r="S177" s="58">
        <v>0</v>
      </c>
      <c r="T177" s="58">
        <v>4.1643835237717903</v>
      </c>
      <c r="U177" s="58">
        <v>20.313698475403001</v>
      </c>
      <c r="V177" s="58">
        <v>120.213677828477</v>
      </c>
      <c r="W177" s="59">
        <v>182.12898786056999</v>
      </c>
      <c r="X177" s="58">
        <v>713.76013974090995</v>
      </c>
      <c r="Y177" s="58">
        <v>1768.6596037710201</v>
      </c>
      <c r="Z177" s="59">
        <v>4026.97042694428</v>
      </c>
      <c r="AA177" s="58">
        <v>5131.4111769043402</v>
      </c>
      <c r="AB177" s="58">
        <v>12219.97211404</v>
      </c>
      <c r="AC177" s="58">
        <v>20321.511085014499</v>
      </c>
    </row>
    <row r="178" spans="2:29" ht="15" x14ac:dyDescent="0.25">
      <c r="B178" s="54" t="s">
        <v>318</v>
      </c>
      <c r="C178" s="54" t="s">
        <v>146</v>
      </c>
      <c r="D178" s="54" t="s">
        <v>273</v>
      </c>
      <c r="E178" s="54" t="s">
        <v>99</v>
      </c>
      <c r="F178" s="56">
        <v>1.3636895039830199</v>
      </c>
      <c r="G178" s="56">
        <v>21.0910209683923</v>
      </c>
      <c r="H178" s="57">
        <v>0</v>
      </c>
      <c r="I178" s="56">
        <v>0</v>
      </c>
      <c r="J178" s="56">
        <v>0</v>
      </c>
      <c r="K178" s="56">
        <v>0</v>
      </c>
      <c r="L178" s="56">
        <v>0</v>
      </c>
      <c r="M178" s="56">
        <v>5.4460528891068396</v>
      </c>
      <c r="N178" s="57">
        <v>15.7027532833752</v>
      </c>
      <c r="O178" s="56">
        <v>47.340181628407898</v>
      </c>
      <c r="P178" s="56">
        <v>57.819224918770303</v>
      </c>
      <c r="Q178" s="56">
        <v>207.596394719898</v>
      </c>
      <c r="R178" s="56">
        <v>378.51122520279699</v>
      </c>
      <c r="S178" s="56">
        <v>0</v>
      </c>
      <c r="T178" s="56">
        <v>0</v>
      </c>
      <c r="U178" s="56">
        <v>0</v>
      </c>
      <c r="V178" s="57">
        <v>0</v>
      </c>
      <c r="W178" s="56">
        <v>0</v>
      </c>
      <c r="X178" s="56">
        <v>5.0730147358229001</v>
      </c>
      <c r="Y178" s="57">
        <v>15.7027532833752</v>
      </c>
      <c r="Z178" s="57">
        <v>47.340181628407898</v>
      </c>
      <c r="AA178" s="56">
        <v>57.819224918770303</v>
      </c>
      <c r="AB178" s="56">
        <v>207.596394719898</v>
      </c>
      <c r="AC178" s="57">
        <v>378.51122520279699</v>
      </c>
    </row>
    <row r="179" spans="2:29" ht="15" x14ac:dyDescent="0.25">
      <c r="B179" s="55" t="s">
        <v>319</v>
      </c>
      <c r="C179" s="55" t="s">
        <v>163</v>
      </c>
      <c r="D179" s="55" t="s">
        <v>229</v>
      </c>
      <c r="E179" s="55" t="s">
        <v>99</v>
      </c>
      <c r="F179" s="58">
        <v>1.53454666896193</v>
      </c>
      <c r="G179" s="58">
        <v>19.431282057564701</v>
      </c>
      <c r="H179" s="58">
        <v>0</v>
      </c>
      <c r="I179" s="58">
        <v>0</v>
      </c>
      <c r="J179" s="59">
        <v>0.84109590788215205</v>
      </c>
      <c r="K179" s="58">
        <v>2.5178081473849798</v>
      </c>
      <c r="L179" s="58">
        <v>4.1198798351508303</v>
      </c>
      <c r="M179" s="58">
        <v>10.310523687992299</v>
      </c>
      <c r="N179" s="58">
        <v>23.470613916026</v>
      </c>
      <c r="O179" s="58">
        <v>45.270012258603799</v>
      </c>
      <c r="P179" s="58">
        <v>59.275417953161998</v>
      </c>
      <c r="Q179" s="58">
        <v>165.59473751085301</v>
      </c>
      <c r="R179" s="58">
        <v>356.11368953817203</v>
      </c>
      <c r="S179" s="58">
        <v>0</v>
      </c>
      <c r="T179" s="58">
        <v>0</v>
      </c>
      <c r="U179" s="58">
        <v>0.83013698369228905</v>
      </c>
      <c r="V179" s="58">
        <v>2.4109589811140002</v>
      </c>
      <c r="W179" s="59">
        <v>4.0102905242325804</v>
      </c>
      <c r="X179" s="58">
        <v>10.2913454737193</v>
      </c>
      <c r="Y179" s="58">
        <v>22.150065635453899</v>
      </c>
      <c r="Z179" s="59">
        <v>42.166341529919102</v>
      </c>
      <c r="AA179" s="58">
        <v>56.940517890737901</v>
      </c>
      <c r="AB179" s="58">
        <v>165.59473751085301</v>
      </c>
      <c r="AC179" s="58">
        <v>356.11368953817203</v>
      </c>
    </row>
    <row r="180" spans="2:29" ht="15" x14ac:dyDescent="0.25">
      <c r="B180" s="54" t="s">
        <v>320</v>
      </c>
      <c r="C180" s="54" t="s">
        <v>163</v>
      </c>
      <c r="D180" s="54" t="s">
        <v>231</v>
      </c>
      <c r="E180" s="54" t="s">
        <v>99</v>
      </c>
      <c r="F180" s="56">
        <v>6256.4084456213704</v>
      </c>
      <c r="G180" s="56">
        <v>18407.9750546861</v>
      </c>
      <c r="H180" s="57">
        <v>1409.08052209582</v>
      </c>
      <c r="I180" s="56">
        <v>7169.82193803675</v>
      </c>
      <c r="J180" s="56">
        <v>14889.3016132211</v>
      </c>
      <c r="K180" s="56">
        <v>26069.075928845501</v>
      </c>
      <c r="L180" s="56">
        <v>31024.290292404301</v>
      </c>
      <c r="M180" s="56">
        <v>48135.0387951722</v>
      </c>
      <c r="N180" s="57">
        <v>72947.332566008205</v>
      </c>
      <c r="O180" s="56">
        <v>97387.4550912954</v>
      </c>
      <c r="P180" s="56">
        <v>112345.782056884</v>
      </c>
      <c r="Q180" s="56">
        <v>177833.56119753001</v>
      </c>
      <c r="R180" s="56">
        <v>225585.028287494</v>
      </c>
      <c r="S180" s="56">
        <v>1019.29763141127</v>
      </c>
      <c r="T180" s="56">
        <v>5270.5158786975098</v>
      </c>
      <c r="U180" s="56">
        <v>11211.2114588145</v>
      </c>
      <c r="V180" s="57">
        <v>21266.1613006974</v>
      </c>
      <c r="W180" s="56">
        <v>25337.2750941419</v>
      </c>
      <c r="X180" s="56">
        <v>43053.498310670097</v>
      </c>
      <c r="Y180" s="57">
        <v>66596.691949946398</v>
      </c>
      <c r="Z180" s="57">
        <v>90061.2885514972</v>
      </c>
      <c r="AA180" s="56">
        <v>103933.071829598</v>
      </c>
      <c r="AB180" s="56">
        <v>172739.04910406299</v>
      </c>
      <c r="AC180" s="57">
        <v>217537.66835766801</v>
      </c>
    </row>
    <row r="181" spans="2:29" ht="15" x14ac:dyDescent="0.25">
      <c r="B181" s="55" t="s">
        <v>321</v>
      </c>
      <c r="C181" s="55" t="s">
        <v>163</v>
      </c>
      <c r="D181" s="55" t="s">
        <v>233</v>
      </c>
      <c r="E181" s="55" t="s">
        <v>99</v>
      </c>
      <c r="F181" s="58">
        <v>42206.010412905503</v>
      </c>
      <c r="G181" s="58">
        <v>113345.126561589</v>
      </c>
      <c r="H181" s="58">
        <v>8781.5691179252208</v>
      </c>
      <c r="I181" s="58">
        <v>44363.298721952502</v>
      </c>
      <c r="J181" s="59">
        <v>91350.509094612498</v>
      </c>
      <c r="K181" s="58">
        <v>173024.32138801701</v>
      </c>
      <c r="L181" s="58">
        <v>218924.719892333</v>
      </c>
      <c r="M181" s="58">
        <v>448949.24563013599</v>
      </c>
      <c r="N181" s="58">
        <v>632846.30545900902</v>
      </c>
      <c r="O181" s="58">
        <v>790466.04725312395</v>
      </c>
      <c r="P181" s="58">
        <v>850486.67799644498</v>
      </c>
      <c r="Q181" s="58">
        <v>1012061.39912696</v>
      </c>
      <c r="R181" s="58">
        <v>1176392.9929148599</v>
      </c>
      <c r="S181" s="58">
        <v>6561.0701576330803</v>
      </c>
      <c r="T181" s="58">
        <v>31042.8124841998</v>
      </c>
      <c r="U181" s="58">
        <v>70522.524651790707</v>
      </c>
      <c r="V181" s="58">
        <v>140441.176014161</v>
      </c>
      <c r="W181" s="59">
        <v>179331.416818909</v>
      </c>
      <c r="X181" s="58">
        <v>419173.27901009301</v>
      </c>
      <c r="Y181" s="58">
        <v>608751.90276991203</v>
      </c>
      <c r="Z181" s="59">
        <v>763550.90910794504</v>
      </c>
      <c r="AA181" s="58">
        <v>791358.07233148406</v>
      </c>
      <c r="AB181" s="58">
        <v>949818.610244176</v>
      </c>
      <c r="AC181" s="58">
        <v>1089472.50220084</v>
      </c>
    </row>
    <row r="182" spans="2:29" ht="15" x14ac:dyDescent="0.25">
      <c r="B182" s="54" t="s">
        <v>322</v>
      </c>
      <c r="C182" s="54" t="s">
        <v>163</v>
      </c>
      <c r="D182" s="54" t="s">
        <v>298</v>
      </c>
      <c r="E182" s="54" t="s">
        <v>99</v>
      </c>
      <c r="F182" s="56">
        <v>0.73417653857974297</v>
      </c>
      <c r="G182" s="56">
        <v>10.1382250731923</v>
      </c>
      <c r="H182" s="57">
        <v>0</v>
      </c>
      <c r="I182" s="56">
        <v>0</v>
      </c>
      <c r="J182" s="56">
        <v>0</v>
      </c>
      <c r="K182" s="56">
        <v>0.91054798594491404</v>
      </c>
      <c r="L182" s="56">
        <v>1.85348033032724</v>
      </c>
      <c r="M182" s="56">
        <v>5.6643714462228303</v>
      </c>
      <c r="N182" s="57">
        <v>15.3084040328075</v>
      </c>
      <c r="O182" s="56">
        <v>29.1373794856008</v>
      </c>
      <c r="P182" s="56">
        <v>34.081552061044697</v>
      </c>
      <c r="Q182" s="56">
        <v>59.947381411380903</v>
      </c>
      <c r="R182" s="56">
        <v>125.36924985148499</v>
      </c>
      <c r="S182" s="56">
        <v>0</v>
      </c>
      <c r="T182" s="56">
        <v>0</v>
      </c>
      <c r="U182" s="56">
        <v>0</v>
      </c>
      <c r="V182" s="57">
        <v>0.91054798594491404</v>
      </c>
      <c r="W182" s="56">
        <v>1.85348033032724</v>
      </c>
      <c r="X182" s="56">
        <v>5.6643714462228303</v>
      </c>
      <c r="Y182" s="57">
        <v>14.3978560468626</v>
      </c>
      <c r="Z182" s="57">
        <v>29.1373794856008</v>
      </c>
      <c r="AA182" s="56">
        <v>34.081552061044697</v>
      </c>
      <c r="AB182" s="56">
        <v>59.947381411380903</v>
      </c>
      <c r="AC182" s="57">
        <v>125.36924985148499</v>
      </c>
    </row>
    <row r="183" spans="2:29" ht="15" x14ac:dyDescent="0.25">
      <c r="B183" s="55" t="s">
        <v>323</v>
      </c>
      <c r="C183" s="55" t="s">
        <v>163</v>
      </c>
      <c r="D183" s="55" t="s">
        <v>235</v>
      </c>
      <c r="E183" s="55" t="s">
        <v>99</v>
      </c>
      <c r="F183" s="58">
        <v>120516.36955921599</v>
      </c>
      <c r="G183" s="58">
        <v>336938.210158929</v>
      </c>
      <c r="H183" s="58">
        <v>15480.937164662</v>
      </c>
      <c r="I183" s="58">
        <v>124772.467244094</v>
      </c>
      <c r="J183" s="59">
        <v>320004.60532402497</v>
      </c>
      <c r="K183" s="58">
        <v>609375.41560829699</v>
      </c>
      <c r="L183" s="58">
        <v>716623.62597859697</v>
      </c>
      <c r="M183" s="58">
        <v>1090502.20595869</v>
      </c>
      <c r="N183" s="58">
        <v>1559666.4185993399</v>
      </c>
      <c r="O183" s="58">
        <v>2015078.0945486</v>
      </c>
      <c r="P183" s="58">
        <v>2242887.8856574101</v>
      </c>
      <c r="Q183" s="58">
        <v>2891718.2683320399</v>
      </c>
      <c r="R183" s="58">
        <v>3643161.53918389</v>
      </c>
      <c r="S183" s="58">
        <v>11257.789433043299</v>
      </c>
      <c r="T183" s="58">
        <v>102061.573630393</v>
      </c>
      <c r="U183" s="58">
        <v>274210.26616721298</v>
      </c>
      <c r="V183" s="58">
        <v>515511.51342207199</v>
      </c>
      <c r="W183" s="59">
        <v>620974.18837056099</v>
      </c>
      <c r="X183" s="58">
        <v>977253.42221095099</v>
      </c>
      <c r="Y183" s="58">
        <v>1412535.23001073</v>
      </c>
      <c r="Z183" s="59">
        <v>1743692.49653985</v>
      </c>
      <c r="AA183" s="58">
        <v>1865123.97420789</v>
      </c>
      <c r="AB183" s="58">
        <v>2560282.3201302201</v>
      </c>
      <c r="AC183" s="58">
        <v>3060317.6011018599</v>
      </c>
    </row>
    <row r="184" spans="2:29" ht="15" x14ac:dyDescent="0.25">
      <c r="B184" s="54" t="s">
        <v>324</v>
      </c>
      <c r="C184" s="54" t="s">
        <v>163</v>
      </c>
      <c r="D184" s="54" t="s">
        <v>237</v>
      </c>
      <c r="E184" s="54" t="s">
        <v>99</v>
      </c>
      <c r="F184" s="56">
        <v>134469.872580442</v>
      </c>
      <c r="G184" s="56">
        <v>237701.89266089699</v>
      </c>
      <c r="H184" s="57">
        <v>54406.740647820297</v>
      </c>
      <c r="I184" s="56">
        <v>198618.895021317</v>
      </c>
      <c r="J184" s="56">
        <v>350622.81693652499</v>
      </c>
      <c r="K184" s="56">
        <v>549687.63487154699</v>
      </c>
      <c r="L184" s="56">
        <v>613602.78055303497</v>
      </c>
      <c r="M184" s="56">
        <v>804634.24550528696</v>
      </c>
      <c r="N184" s="57">
        <v>1101063.1105293599</v>
      </c>
      <c r="O184" s="56">
        <v>1415950.75605735</v>
      </c>
      <c r="P184" s="56">
        <v>1505828.96499536</v>
      </c>
      <c r="Q184" s="56">
        <v>1965681.9855414</v>
      </c>
      <c r="R184" s="56">
        <v>2414448.0603771601</v>
      </c>
      <c r="S184" s="56">
        <v>37971.835834062898</v>
      </c>
      <c r="T184" s="56">
        <v>136200.571924866</v>
      </c>
      <c r="U184" s="56">
        <v>247927.25286008901</v>
      </c>
      <c r="V184" s="57">
        <v>415301.80977375398</v>
      </c>
      <c r="W184" s="56">
        <v>476855.23172661301</v>
      </c>
      <c r="X184" s="56">
        <v>682406.46861193096</v>
      </c>
      <c r="Y184" s="57">
        <v>907987.32117633405</v>
      </c>
      <c r="Z184" s="57">
        <v>1229448.89249217</v>
      </c>
      <c r="AA184" s="56">
        <v>1332396.06030612</v>
      </c>
      <c r="AB184" s="56">
        <v>1734321.3214521101</v>
      </c>
      <c r="AC184" s="57">
        <v>2210589.3291515498</v>
      </c>
    </row>
    <row r="185" spans="2:29" ht="15" x14ac:dyDescent="0.25">
      <c r="B185" s="55" t="s">
        <v>325</v>
      </c>
      <c r="C185" s="55" t="s">
        <v>163</v>
      </c>
      <c r="D185" s="55" t="s">
        <v>239</v>
      </c>
      <c r="E185" s="55" t="s">
        <v>99</v>
      </c>
      <c r="F185" s="58">
        <v>646.05705016712398</v>
      </c>
      <c r="G185" s="58">
        <v>1351.9949446266501</v>
      </c>
      <c r="H185" s="58">
        <v>203.405498282411</v>
      </c>
      <c r="I185" s="58">
        <v>945.740577743176</v>
      </c>
      <c r="J185" s="59">
        <v>1754.8946331401601</v>
      </c>
      <c r="K185" s="58">
        <v>2710.7714652715799</v>
      </c>
      <c r="L185" s="58">
        <v>3032.0604287941001</v>
      </c>
      <c r="M185" s="58">
        <v>4229.2844705082498</v>
      </c>
      <c r="N185" s="58">
        <v>5717.8871441158599</v>
      </c>
      <c r="O185" s="58">
        <v>7203.0062834314404</v>
      </c>
      <c r="P185" s="58">
        <v>8330.8722983447697</v>
      </c>
      <c r="Q185" s="58">
        <v>10903.6035818049</v>
      </c>
      <c r="R185" s="58">
        <v>13930.727147662201</v>
      </c>
      <c r="S185" s="58">
        <v>140.66247374873399</v>
      </c>
      <c r="T185" s="58">
        <v>626.12638608045995</v>
      </c>
      <c r="U185" s="58">
        <v>1350.3222176991701</v>
      </c>
      <c r="V185" s="58">
        <v>2152.8542959401698</v>
      </c>
      <c r="W185" s="59">
        <v>2442.5789276923401</v>
      </c>
      <c r="X185" s="58">
        <v>3584.8683830302198</v>
      </c>
      <c r="Y185" s="58">
        <v>4930.8870595624203</v>
      </c>
      <c r="Z185" s="59">
        <v>6417.0229237900803</v>
      </c>
      <c r="AA185" s="58">
        <v>7428.7169425569</v>
      </c>
      <c r="AB185" s="58">
        <v>10842.696112707201</v>
      </c>
      <c r="AC185" s="58">
        <v>13466.8881141403</v>
      </c>
    </row>
    <row r="186" spans="2:29" ht="15" x14ac:dyDescent="0.25">
      <c r="B186" s="54" t="s">
        <v>326</v>
      </c>
      <c r="C186" s="54" t="s">
        <v>163</v>
      </c>
      <c r="D186" s="54" t="s">
        <v>241</v>
      </c>
      <c r="E186" s="54" t="s">
        <v>99</v>
      </c>
      <c r="F186" s="56">
        <v>827084.77757113695</v>
      </c>
      <c r="G186" s="56">
        <v>2560550.83634164</v>
      </c>
      <c r="H186" s="57">
        <v>145786.86554082599</v>
      </c>
      <c r="I186" s="56">
        <v>926605.52820214501</v>
      </c>
      <c r="J186" s="56">
        <v>2077226.1544321801</v>
      </c>
      <c r="K186" s="56">
        <v>3544748.3118593399</v>
      </c>
      <c r="L186" s="56">
        <v>4190990.5000219001</v>
      </c>
      <c r="M186" s="56">
        <v>6548197.3651555302</v>
      </c>
      <c r="N186" s="57">
        <v>10354520.1205278</v>
      </c>
      <c r="O186" s="56">
        <v>14800443.662410701</v>
      </c>
      <c r="P186" s="56">
        <v>16071338.254837399</v>
      </c>
      <c r="Q186" s="56">
        <v>22606283.6192456</v>
      </c>
      <c r="R186" s="56">
        <v>28322344.892692398</v>
      </c>
      <c r="S186" s="56">
        <v>110911.500333294</v>
      </c>
      <c r="T186" s="56">
        <v>687808.22074757901</v>
      </c>
      <c r="U186" s="56">
        <v>1608995.6217259499</v>
      </c>
      <c r="V186" s="57">
        <v>2975219.5074277399</v>
      </c>
      <c r="W186" s="56">
        <v>3533194.8851523399</v>
      </c>
      <c r="X186" s="56">
        <v>5902136.8248620098</v>
      </c>
      <c r="Y186" s="57">
        <v>9848048.2241907697</v>
      </c>
      <c r="Z186" s="57">
        <v>13983047.4397575</v>
      </c>
      <c r="AA186" s="56">
        <v>15377225.946171699</v>
      </c>
      <c r="AB186" s="56">
        <v>20948172.760336399</v>
      </c>
      <c r="AC186" s="57">
        <v>27886994.4563329</v>
      </c>
    </row>
    <row r="187" spans="2:29" ht="15" x14ac:dyDescent="0.25">
      <c r="B187" s="55" t="s">
        <v>327</v>
      </c>
      <c r="C187" s="55" t="s">
        <v>163</v>
      </c>
      <c r="D187" s="55" t="s">
        <v>243</v>
      </c>
      <c r="E187" s="55" t="s">
        <v>99</v>
      </c>
      <c r="F187" s="58">
        <v>646321.85587928304</v>
      </c>
      <c r="G187" s="58">
        <v>1037186.75665843</v>
      </c>
      <c r="H187" s="58">
        <v>314281.35849064699</v>
      </c>
      <c r="I187" s="58">
        <v>930914.06839499797</v>
      </c>
      <c r="J187" s="59">
        <v>1496426.3766202901</v>
      </c>
      <c r="K187" s="58">
        <v>2349332.7830222901</v>
      </c>
      <c r="L187" s="58">
        <v>2771992.3793235002</v>
      </c>
      <c r="M187" s="58">
        <v>4140001.4865062502</v>
      </c>
      <c r="N187" s="58">
        <v>5458144.37877475</v>
      </c>
      <c r="O187" s="58">
        <v>6703070.5342197502</v>
      </c>
      <c r="P187" s="58">
        <v>7090528.4004760403</v>
      </c>
      <c r="Q187" s="58">
        <v>8804244.8187931906</v>
      </c>
      <c r="R187" s="58">
        <v>9755453.5252545998</v>
      </c>
      <c r="S187" s="58">
        <v>187127.360596477</v>
      </c>
      <c r="T187" s="58">
        <v>546058.33040291897</v>
      </c>
      <c r="U187" s="58">
        <v>953263.81585228303</v>
      </c>
      <c r="V187" s="58">
        <v>1637774.42890402</v>
      </c>
      <c r="W187" s="59">
        <v>1966012.43504323</v>
      </c>
      <c r="X187" s="58">
        <v>3612688.7126900498</v>
      </c>
      <c r="Y187" s="58">
        <v>4874071.6648987299</v>
      </c>
      <c r="Z187" s="59">
        <v>6093718.9752720101</v>
      </c>
      <c r="AA187" s="58">
        <v>6468368.50361834</v>
      </c>
      <c r="AB187" s="58">
        <v>7567243.9954087697</v>
      </c>
      <c r="AC187" s="58">
        <v>8722319.6101589091</v>
      </c>
    </row>
    <row r="188" spans="2:29" ht="15" x14ac:dyDescent="0.25">
      <c r="B188" s="54" t="s">
        <v>328</v>
      </c>
      <c r="C188" s="54" t="s">
        <v>163</v>
      </c>
      <c r="D188" s="54" t="s">
        <v>245</v>
      </c>
      <c r="E188" s="54" t="s">
        <v>99</v>
      </c>
      <c r="F188" s="56">
        <v>1580.3572944832299</v>
      </c>
      <c r="G188" s="56">
        <v>3152.1583881346201</v>
      </c>
      <c r="H188" s="57">
        <v>594.71668528778696</v>
      </c>
      <c r="I188" s="56">
        <v>2292.4473731896101</v>
      </c>
      <c r="J188" s="56">
        <v>3963.6306424829099</v>
      </c>
      <c r="K188" s="56">
        <v>6001.81025757507</v>
      </c>
      <c r="L188" s="56">
        <v>6770.6843091339197</v>
      </c>
      <c r="M188" s="56">
        <v>10116.0867675761</v>
      </c>
      <c r="N188" s="57">
        <v>13776.938324405401</v>
      </c>
      <c r="O188" s="56">
        <v>18968.059409714799</v>
      </c>
      <c r="P188" s="56">
        <v>22271.733158945099</v>
      </c>
      <c r="Q188" s="56">
        <v>29597.436373829201</v>
      </c>
      <c r="R188" s="56">
        <v>38195.762648850599</v>
      </c>
      <c r="S188" s="56">
        <v>403.19524519321101</v>
      </c>
      <c r="T188" s="56">
        <v>1551.7701673208101</v>
      </c>
      <c r="U188" s="56">
        <v>2885.3925538910598</v>
      </c>
      <c r="V188" s="57">
        <v>4627.5096920840397</v>
      </c>
      <c r="W188" s="56">
        <v>5323.0633791435803</v>
      </c>
      <c r="X188" s="56">
        <v>7852.6037470401698</v>
      </c>
      <c r="Y188" s="57">
        <v>11474.660676311199</v>
      </c>
      <c r="Z188" s="57">
        <v>17861.6250265335</v>
      </c>
      <c r="AA188" s="56">
        <v>20167.824254858398</v>
      </c>
      <c r="AB188" s="56">
        <v>27758.019291842302</v>
      </c>
      <c r="AC188" s="57">
        <v>34483.975005570901</v>
      </c>
    </row>
    <row r="189" spans="2:29" ht="15" x14ac:dyDescent="0.25">
      <c r="B189" s="55" t="s">
        <v>329</v>
      </c>
      <c r="C189" s="55" t="s">
        <v>163</v>
      </c>
      <c r="D189" s="55" t="s">
        <v>247</v>
      </c>
      <c r="E189" s="55" t="s">
        <v>99</v>
      </c>
      <c r="F189" s="58">
        <v>483078.84582289902</v>
      </c>
      <c r="G189" s="58">
        <v>1409829.8737168601</v>
      </c>
      <c r="H189" s="58">
        <v>78980.056441531793</v>
      </c>
      <c r="I189" s="58">
        <v>554678.48775620898</v>
      </c>
      <c r="J189" s="59">
        <v>1215177.2637827401</v>
      </c>
      <c r="K189" s="58">
        <v>2201427.7613086598</v>
      </c>
      <c r="L189" s="58">
        <v>2619672.3868962601</v>
      </c>
      <c r="M189" s="58">
        <v>3949489.0920706699</v>
      </c>
      <c r="N189" s="58">
        <v>5750475.54289784</v>
      </c>
      <c r="O189" s="58">
        <v>8313926.5693242</v>
      </c>
      <c r="P189" s="58">
        <v>9596775.4074501004</v>
      </c>
      <c r="Q189" s="58">
        <v>12602395.5768974</v>
      </c>
      <c r="R189" s="58">
        <v>16643843.4480383</v>
      </c>
      <c r="S189" s="58">
        <v>58895.635207947402</v>
      </c>
      <c r="T189" s="58">
        <v>438507.88328342303</v>
      </c>
      <c r="U189" s="58">
        <v>966686.89505622198</v>
      </c>
      <c r="V189" s="58">
        <v>1812774.9172705901</v>
      </c>
      <c r="W189" s="59">
        <v>2209477.8606388099</v>
      </c>
      <c r="X189" s="58">
        <v>3413701.93588315</v>
      </c>
      <c r="Y189" s="58">
        <v>5170927.0508103501</v>
      </c>
      <c r="Z189" s="59">
        <v>6937493.1658800002</v>
      </c>
      <c r="AA189" s="58">
        <v>8496092.7076216806</v>
      </c>
      <c r="AB189" s="58">
        <v>11665150.6807015</v>
      </c>
      <c r="AC189" s="58">
        <v>15225767.167171501</v>
      </c>
    </row>
    <row r="190" spans="2:29" ht="15" x14ac:dyDescent="0.25">
      <c r="B190" s="54" t="s">
        <v>330</v>
      </c>
      <c r="C190" s="54" t="s">
        <v>163</v>
      </c>
      <c r="D190" s="54" t="s">
        <v>249</v>
      </c>
      <c r="E190" s="54" t="s">
        <v>99</v>
      </c>
      <c r="F190" s="56">
        <v>308238.71725922002</v>
      </c>
      <c r="G190" s="56">
        <v>503992.466788308</v>
      </c>
      <c r="H190" s="57">
        <v>144068.540188399</v>
      </c>
      <c r="I190" s="56">
        <v>469602.78936745401</v>
      </c>
      <c r="J190" s="56">
        <v>784939.96250770194</v>
      </c>
      <c r="K190" s="56">
        <v>1188379.61984629</v>
      </c>
      <c r="L190" s="56">
        <v>1330440.5045976399</v>
      </c>
      <c r="M190" s="56">
        <v>1687527.8706737701</v>
      </c>
      <c r="N190" s="57">
        <v>2277281.0026106299</v>
      </c>
      <c r="O190" s="56">
        <v>2861292.4858891601</v>
      </c>
      <c r="P190" s="56">
        <v>3197275.4891278599</v>
      </c>
      <c r="Q190" s="56">
        <v>3931882.8921891898</v>
      </c>
      <c r="R190" s="56">
        <v>5027069.4937057504</v>
      </c>
      <c r="S190" s="56">
        <v>95587.032776125197</v>
      </c>
      <c r="T190" s="56">
        <v>302083.03281958599</v>
      </c>
      <c r="U190" s="56">
        <v>531725.41351228999</v>
      </c>
      <c r="V190" s="57">
        <v>854983.71352725895</v>
      </c>
      <c r="W190" s="56">
        <v>990244.08701437502</v>
      </c>
      <c r="X190" s="56">
        <v>1390393.0997312099</v>
      </c>
      <c r="Y190" s="57">
        <v>1865936.75416736</v>
      </c>
      <c r="Z190" s="57">
        <v>2541830.5444942601</v>
      </c>
      <c r="AA190" s="56">
        <v>2724535.0664259698</v>
      </c>
      <c r="AB190" s="56">
        <v>3693434.01629702</v>
      </c>
      <c r="AC190" s="57">
        <v>4989805.9016591497</v>
      </c>
    </row>
    <row r="191" spans="2:29" ht="15" x14ac:dyDescent="0.25">
      <c r="B191" s="55" t="s">
        <v>331</v>
      </c>
      <c r="C191" s="55" t="s">
        <v>163</v>
      </c>
      <c r="D191" s="55" t="s">
        <v>251</v>
      </c>
      <c r="E191" s="55" t="s">
        <v>99</v>
      </c>
      <c r="F191" s="58">
        <v>1010315.54672261</v>
      </c>
      <c r="G191" s="58">
        <v>2548500.3074802901</v>
      </c>
      <c r="H191" s="58">
        <v>213940.15343329101</v>
      </c>
      <c r="I191" s="58">
        <v>1179297.79940224</v>
      </c>
      <c r="J191" s="59">
        <v>2613847.7080576099</v>
      </c>
      <c r="K191" s="58">
        <v>4723072.5381082203</v>
      </c>
      <c r="L191" s="58">
        <v>5440585.3252323102</v>
      </c>
      <c r="M191" s="58">
        <v>8550420.7979079001</v>
      </c>
      <c r="N191" s="58">
        <v>11594499.559591301</v>
      </c>
      <c r="O191" s="58">
        <v>15589504.787624899</v>
      </c>
      <c r="P191" s="58">
        <v>16608090.251666499</v>
      </c>
      <c r="Q191" s="58">
        <v>21026452.869951099</v>
      </c>
      <c r="R191" s="58">
        <v>28493598.378642101</v>
      </c>
      <c r="S191" s="58">
        <v>150755.886071074</v>
      </c>
      <c r="T191" s="58">
        <v>861702.362265339</v>
      </c>
      <c r="U191" s="58">
        <v>2061460.7335234999</v>
      </c>
      <c r="V191" s="58">
        <v>3930231.2949368302</v>
      </c>
      <c r="W191" s="59">
        <v>4766593.6398390299</v>
      </c>
      <c r="X191" s="58">
        <v>7822606.1591182696</v>
      </c>
      <c r="Y191" s="58">
        <v>10672331.188631</v>
      </c>
      <c r="Z191" s="59">
        <v>13364822.950754</v>
      </c>
      <c r="AA191" s="58">
        <v>15131814.529531499</v>
      </c>
      <c r="AB191" s="58">
        <v>19343370.192340799</v>
      </c>
      <c r="AC191" s="58">
        <v>27000706.096344501</v>
      </c>
    </row>
    <row r="192" spans="2:29" ht="15" x14ac:dyDescent="0.25">
      <c r="B192" s="54" t="s">
        <v>332</v>
      </c>
      <c r="C192" s="54" t="s">
        <v>163</v>
      </c>
      <c r="D192" s="54" t="s">
        <v>253</v>
      </c>
      <c r="E192" s="54" t="s">
        <v>99</v>
      </c>
      <c r="F192" s="56">
        <v>46.142200452595198</v>
      </c>
      <c r="G192" s="56">
        <v>230.67928186368999</v>
      </c>
      <c r="H192" s="57">
        <v>0</v>
      </c>
      <c r="I192" s="56">
        <v>28.743825804987299</v>
      </c>
      <c r="J192" s="56">
        <v>89.458274498492997</v>
      </c>
      <c r="K192" s="56">
        <v>199.52534781475001</v>
      </c>
      <c r="L192" s="56">
        <v>261.45057500866102</v>
      </c>
      <c r="M192" s="56">
        <v>517.70236948878801</v>
      </c>
      <c r="N192" s="57">
        <v>776.89749341331196</v>
      </c>
      <c r="O192" s="56">
        <v>1149.9383133193301</v>
      </c>
      <c r="P192" s="56">
        <v>1350.4706411401</v>
      </c>
      <c r="Q192" s="56">
        <v>2094.09575638976</v>
      </c>
      <c r="R192" s="56">
        <v>2788.6786463312501</v>
      </c>
      <c r="S192" s="56">
        <v>0</v>
      </c>
      <c r="T192" s="56">
        <v>26.457557620588101</v>
      </c>
      <c r="U192" s="56">
        <v>80.620861372713605</v>
      </c>
      <c r="V192" s="57">
        <v>181.90218146945099</v>
      </c>
      <c r="W192" s="56">
        <v>226.13530381351899</v>
      </c>
      <c r="X192" s="56">
        <v>492.82257130779101</v>
      </c>
      <c r="Y192" s="57">
        <v>739.23542167093501</v>
      </c>
      <c r="Z192" s="57">
        <v>1112.90274834822</v>
      </c>
      <c r="AA192" s="56">
        <v>1285.97046855688</v>
      </c>
      <c r="AB192" s="56">
        <v>2094.09575638976</v>
      </c>
      <c r="AC192" s="57">
        <v>2778.3813562467799</v>
      </c>
    </row>
    <row r="193" spans="2:29" ht="15" x14ac:dyDescent="0.25">
      <c r="B193" s="55" t="s">
        <v>333</v>
      </c>
      <c r="C193" s="55" t="s">
        <v>163</v>
      </c>
      <c r="D193" s="55" t="s">
        <v>255</v>
      </c>
      <c r="E193" s="55" t="s">
        <v>99</v>
      </c>
      <c r="F193" s="58">
        <v>19106.954631753499</v>
      </c>
      <c r="G193" s="58">
        <v>66841.281153823802</v>
      </c>
      <c r="H193" s="58">
        <v>3302.7945303284801</v>
      </c>
      <c r="I193" s="58">
        <v>16742.832058009499</v>
      </c>
      <c r="J193" s="59">
        <v>40975.488783487097</v>
      </c>
      <c r="K193" s="58">
        <v>85679.785289357795</v>
      </c>
      <c r="L193" s="58">
        <v>102994.24618724499</v>
      </c>
      <c r="M193" s="58">
        <v>165804.58067564599</v>
      </c>
      <c r="N193" s="58">
        <v>255189.43453996399</v>
      </c>
      <c r="O193" s="58">
        <v>397569.75410815602</v>
      </c>
      <c r="P193" s="58">
        <v>439908.65133721201</v>
      </c>
      <c r="Q193" s="58">
        <v>623290.11181095103</v>
      </c>
      <c r="R193" s="58">
        <v>813270.251088719</v>
      </c>
      <c r="S193" s="58">
        <v>2133.02016306111</v>
      </c>
      <c r="T193" s="58">
        <v>12134.565024057099</v>
      </c>
      <c r="U193" s="58">
        <v>32802.142417680698</v>
      </c>
      <c r="V193" s="58">
        <v>73807.181481332693</v>
      </c>
      <c r="W193" s="59">
        <v>89026.032313660093</v>
      </c>
      <c r="X193" s="58">
        <v>150858.71946352601</v>
      </c>
      <c r="Y193" s="58">
        <v>237226.57042777899</v>
      </c>
      <c r="Z193" s="59">
        <v>359785.378024843</v>
      </c>
      <c r="AA193" s="58">
        <v>418287.63243033201</v>
      </c>
      <c r="AB193" s="58">
        <v>621878.43071828701</v>
      </c>
      <c r="AC193" s="58">
        <v>801165.64792720205</v>
      </c>
    </row>
    <row r="194" spans="2:29" ht="15" x14ac:dyDescent="0.25">
      <c r="B194" s="54" t="s">
        <v>334</v>
      </c>
      <c r="C194" s="54" t="s">
        <v>163</v>
      </c>
      <c r="D194" s="54" t="s">
        <v>257</v>
      </c>
      <c r="E194" s="54" t="s">
        <v>99</v>
      </c>
      <c r="F194" s="56">
        <v>215.18814163347099</v>
      </c>
      <c r="G194" s="56">
        <v>1829.4578640654099</v>
      </c>
      <c r="H194" s="57">
        <v>0</v>
      </c>
      <c r="I194" s="56">
        <v>5.4117891450744304</v>
      </c>
      <c r="J194" s="56">
        <v>63.494462234489802</v>
      </c>
      <c r="K194" s="56">
        <v>492.45225056293299</v>
      </c>
      <c r="L194" s="56">
        <v>872.39403339742103</v>
      </c>
      <c r="M194" s="56">
        <v>2821.3780379280302</v>
      </c>
      <c r="N194" s="57">
        <v>4796.1232489317399</v>
      </c>
      <c r="O194" s="56">
        <v>9096.8569761770195</v>
      </c>
      <c r="P194" s="56">
        <v>11750.364860837901</v>
      </c>
      <c r="Q194" s="56">
        <v>16004.017680912701</v>
      </c>
      <c r="R194" s="56">
        <v>23473.907818648699</v>
      </c>
      <c r="S194" s="56">
        <v>0</v>
      </c>
      <c r="T194" s="56">
        <v>5.4117891450744304</v>
      </c>
      <c r="U194" s="56">
        <v>60.6496728452139</v>
      </c>
      <c r="V194" s="57">
        <v>470.22035665261899</v>
      </c>
      <c r="W194" s="56">
        <v>866.99021366562295</v>
      </c>
      <c r="X194" s="56">
        <v>2747.3649196813199</v>
      </c>
      <c r="Y194" s="57">
        <v>4760.3914183124398</v>
      </c>
      <c r="Z194" s="57">
        <v>8649.8831175209998</v>
      </c>
      <c r="AA194" s="56">
        <v>11750.364860837901</v>
      </c>
      <c r="AB194" s="56">
        <v>16004.017680912701</v>
      </c>
      <c r="AC194" s="57">
        <v>23473.907818648699</v>
      </c>
    </row>
    <row r="195" spans="2:29" ht="15" x14ac:dyDescent="0.25">
      <c r="B195" s="55" t="s">
        <v>335</v>
      </c>
      <c r="C195" s="55" t="s">
        <v>163</v>
      </c>
      <c r="D195" s="55" t="s">
        <v>259</v>
      </c>
      <c r="E195" s="55" t="s">
        <v>99</v>
      </c>
      <c r="F195" s="58">
        <v>2643.2624742961898</v>
      </c>
      <c r="G195" s="58">
        <v>19343.332492213001</v>
      </c>
      <c r="H195" s="58">
        <v>0</v>
      </c>
      <c r="I195" s="58">
        <v>757.28280894099498</v>
      </c>
      <c r="J195" s="59">
        <v>3107.0728563542998</v>
      </c>
      <c r="K195" s="58">
        <v>8734.7533502816405</v>
      </c>
      <c r="L195" s="58">
        <v>11470.5560985468</v>
      </c>
      <c r="M195" s="58">
        <v>24166.994297192101</v>
      </c>
      <c r="N195" s="58">
        <v>47078.816492639402</v>
      </c>
      <c r="O195" s="58">
        <v>84543.335057154196</v>
      </c>
      <c r="P195" s="58">
        <v>111421.442637411</v>
      </c>
      <c r="Q195" s="58">
        <v>223269.32288074301</v>
      </c>
      <c r="R195" s="58">
        <v>368751.517543856</v>
      </c>
      <c r="S195" s="58">
        <v>0</v>
      </c>
      <c r="T195" s="58">
        <v>668.05388301543303</v>
      </c>
      <c r="U195" s="58">
        <v>2890.5913210071399</v>
      </c>
      <c r="V195" s="58">
        <v>8244.7948241385602</v>
      </c>
      <c r="W195" s="59">
        <v>10740.945730797401</v>
      </c>
      <c r="X195" s="58">
        <v>23102.887460542701</v>
      </c>
      <c r="Y195" s="58">
        <v>44988.056399939698</v>
      </c>
      <c r="Z195" s="59">
        <v>82899.674383330101</v>
      </c>
      <c r="AA195" s="58">
        <v>111055.70963740601</v>
      </c>
      <c r="AB195" s="58">
        <v>209514.92031943201</v>
      </c>
      <c r="AC195" s="58">
        <v>368751.517543856</v>
      </c>
    </row>
    <row r="196" spans="2:29" ht="15" x14ac:dyDescent="0.25">
      <c r="B196" s="54" t="s">
        <v>336</v>
      </c>
      <c r="C196" s="54" t="s">
        <v>163</v>
      </c>
      <c r="D196" s="54" t="s">
        <v>261</v>
      </c>
      <c r="E196" s="54" t="s">
        <v>99</v>
      </c>
      <c r="F196" s="56">
        <v>0.98328793425234196</v>
      </c>
      <c r="G196" s="56">
        <v>11.694269533135</v>
      </c>
      <c r="H196" s="57">
        <v>0</v>
      </c>
      <c r="I196" s="56">
        <v>0</v>
      </c>
      <c r="J196" s="56">
        <v>0</v>
      </c>
      <c r="K196" s="56">
        <v>1.17789541171413</v>
      </c>
      <c r="L196" s="56">
        <v>2.47125975011891</v>
      </c>
      <c r="M196" s="56">
        <v>7.8394457883348698</v>
      </c>
      <c r="N196" s="57">
        <v>17.640922672977101</v>
      </c>
      <c r="O196" s="56">
        <v>40.224735816073498</v>
      </c>
      <c r="P196" s="56">
        <v>50.719703628603099</v>
      </c>
      <c r="Q196" s="56">
        <v>95.5068059756331</v>
      </c>
      <c r="R196" s="56">
        <v>185.12972881105901</v>
      </c>
      <c r="S196" s="56">
        <v>0</v>
      </c>
      <c r="T196" s="56">
        <v>0</v>
      </c>
      <c r="U196" s="56">
        <v>0</v>
      </c>
      <c r="V196" s="57">
        <v>1.17789541171413</v>
      </c>
      <c r="W196" s="56">
        <v>2.47125975011891</v>
      </c>
      <c r="X196" s="56">
        <v>7.8394457883348698</v>
      </c>
      <c r="Y196" s="57">
        <v>16.872349240302899</v>
      </c>
      <c r="Z196" s="57">
        <v>40.224735816073498</v>
      </c>
      <c r="AA196" s="56">
        <v>50.719703628603099</v>
      </c>
      <c r="AB196" s="56">
        <v>93.560337131244694</v>
      </c>
      <c r="AC196" s="57">
        <v>185.12972881105901</v>
      </c>
    </row>
    <row r="197" spans="2:29" ht="15" x14ac:dyDescent="0.25">
      <c r="B197" s="55" t="s">
        <v>337</v>
      </c>
      <c r="C197" s="55" t="s">
        <v>163</v>
      </c>
      <c r="D197" s="55" t="s">
        <v>263</v>
      </c>
      <c r="E197" s="55" t="s">
        <v>99</v>
      </c>
      <c r="F197" s="58">
        <v>288.60229576980799</v>
      </c>
      <c r="G197" s="58">
        <v>10113.2080173834</v>
      </c>
      <c r="H197" s="58">
        <v>0</v>
      </c>
      <c r="I197" s="58">
        <v>0</v>
      </c>
      <c r="J197" s="59">
        <v>0</v>
      </c>
      <c r="K197" s="58">
        <v>76.449374174167602</v>
      </c>
      <c r="L197" s="58">
        <v>231.45498680761</v>
      </c>
      <c r="M197" s="58">
        <v>725.71977517387904</v>
      </c>
      <c r="N197" s="58">
        <v>2338.8131789888898</v>
      </c>
      <c r="O197" s="58">
        <v>7839.4280659420401</v>
      </c>
      <c r="P197" s="58">
        <v>9786.1966788214595</v>
      </c>
      <c r="Q197" s="58">
        <v>18347.134243596302</v>
      </c>
      <c r="R197" s="58">
        <v>25748.225234021102</v>
      </c>
      <c r="S197" s="58">
        <v>0</v>
      </c>
      <c r="T197" s="58">
        <v>0</v>
      </c>
      <c r="U197" s="58">
        <v>0</v>
      </c>
      <c r="V197" s="58">
        <v>76.449374174167602</v>
      </c>
      <c r="W197" s="59">
        <v>222.45870189772199</v>
      </c>
      <c r="X197" s="58">
        <v>706.06309669230097</v>
      </c>
      <c r="Y197" s="58">
        <v>2296.9742016792302</v>
      </c>
      <c r="Z197" s="59">
        <v>7799.5320745088802</v>
      </c>
      <c r="AA197" s="58">
        <v>9786.1966788214595</v>
      </c>
      <c r="AB197" s="58">
        <v>18347.134243596302</v>
      </c>
      <c r="AC197" s="58">
        <v>25748.225234021102</v>
      </c>
    </row>
    <row r="198" spans="2:29" ht="15" x14ac:dyDescent="0.25">
      <c r="B198" s="54" t="s">
        <v>338</v>
      </c>
      <c r="C198" s="54" t="s">
        <v>163</v>
      </c>
      <c r="D198" s="54" t="s">
        <v>265</v>
      </c>
      <c r="E198" s="54" t="s">
        <v>99</v>
      </c>
      <c r="F198" s="56">
        <v>592.45197609241495</v>
      </c>
      <c r="G198" s="56">
        <v>3182.8546399408001</v>
      </c>
      <c r="H198" s="57">
        <v>21.376672289835099</v>
      </c>
      <c r="I198" s="56">
        <v>326.290131989862</v>
      </c>
      <c r="J198" s="56">
        <v>1083.24401185539</v>
      </c>
      <c r="K198" s="56">
        <v>2513.8024635575398</v>
      </c>
      <c r="L198" s="56">
        <v>3193.9733284008098</v>
      </c>
      <c r="M198" s="56">
        <v>6098.4203554300502</v>
      </c>
      <c r="N198" s="57">
        <v>9702.6795430244802</v>
      </c>
      <c r="O198" s="56">
        <v>15823.8753833132</v>
      </c>
      <c r="P198" s="56">
        <v>17789.565563158201</v>
      </c>
      <c r="Q198" s="56">
        <v>26126.2968095305</v>
      </c>
      <c r="R198" s="56">
        <v>44679.839485803699</v>
      </c>
      <c r="S198" s="56">
        <v>21.376672289835099</v>
      </c>
      <c r="T198" s="56">
        <v>261.92523580910898</v>
      </c>
      <c r="U198" s="56">
        <v>969.51591164240494</v>
      </c>
      <c r="V198" s="57">
        <v>2301.9961199601598</v>
      </c>
      <c r="W198" s="56">
        <v>2986.5215974944199</v>
      </c>
      <c r="X198" s="56">
        <v>5763.2059736710098</v>
      </c>
      <c r="Y198" s="57">
        <v>9166.7931195917699</v>
      </c>
      <c r="Z198" s="57">
        <v>15540.5471063564</v>
      </c>
      <c r="AA198" s="56">
        <v>17273.441917714601</v>
      </c>
      <c r="AB198" s="56">
        <v>26126.2968095305</v>
      </c>
      <c r="AC198" s="57">
        <v>44658.462813513797</v>
      </c>
    </row>
    <row r="199" spans="2:29" ht="15" x14ac:dyDescent="0.25">
      <c r="B199" s="55" t="s">
        <v>339</v>
      </c>
      <c r="C199" s="55" t="s">
        <v>163</v>
      </c>
      <c r="D199" s="55" t="s">
        <v>267</v>
      </c>
      <c r="E199" s="55" t="s">
        <v>99</v>
      </c>
      <c r="F199" s="58">
        <v>41696.183603142301</v>
      </c>
      <c r="G199" s="58">
        <v>127397.435009204</v>
      </c>
      <c r="H199" s="58">
        <v>6987.5155824427902</v>
      </c>
      <c r="I199" s="58">
        <v>47038.994582899897</v>
      </c>
      <c r="J199" s="59">
        <v>99937.755576282696</v>
      </c>
      <c r="K199" s="58">
        <v>175596.40190891901</v>
      </c>
      <c r="L199" s="58">
        <v>201064.66302161099</v>
      </c>
      <c r="M199" s="58">
        <v>313126.47161058203</v>
      </c>
      <c r="N199" s="58">
        <v>481892.83257352602</v>
      </c>
      <c r="O199" s="58">
        <v>804714.887231022</v>
      </c>
      <c r="P199" s="58">
        <v>1072228.3113909999</v>
      </c>
      <c r="Q199" s="58">
        <v>1611159.57679253</v>
      </c>
      <c r="R199" s="58">
        <v>1881173.56331186</v>
      </c>
      <c r="S199" s="58">
        <v>5367.0762695943004</v>
      </c>
      <c r="T199" s="58">
        <v>36350.112673568801</v>
      </c>
      <c r="U199" s="58">
        <v>78279.400678796796</v>
      </c>
      <c r="V199" s="58">
        <v>138374.80556734599</v>
      </c>
      <c r="W199" s="59">
        <v>164437.434772774</v>
      </c>
      <c r="X199" s="58">
        <v>273039.868490636</v>
      </c>
      <c r="Y199" s="58">
        <v>440159.32949344401</v>
      </c>
      <c r="Z199" s="59">
        <v>748767.45363151596</v>
      </c>
      <c r="AA199" s="58">
        <v>928475.518760451</v>
      </c>
      <c r="AB199" s="58">
        <v>1480345.40396292</v>
      </c>
      <c r="AC199" s="58">
        <v>1877986.71694246</v>
      </c>
    </row>
    <row r="200" spans="2:29" ht="15" x14ac:dyDescent="0.25">
      <c r="B200" s="54" t="s">
        <v>340</v>
      </c>
      <c r="C200" s="54" t="s">
        <v>163</v>
      </c>
      <c r="D200" s="54" t="s">
        <v>269</v>
      </c>
      <c r="E200" s="54" t="s">
        <v>99</v>
      </c>
      <c r="F200" s="56">
        <v>70.487157528687902</v>
      </c>
      <c r="G200" s="56">
        <v>875.933562091525</v>
      </c>
      <c r="H200" s="57">
        <v>0</v>
      </c>
      <c r="I200" s="56">
        <v>0</v>
      </c>
      <c r="J200" s="56">
        <v>0</v>
      </c>
      <c r="K200" s="56">
        <v>88.163448118458902</v>
      </c>
      <c r="L200" s="56">
        <v>136.86689398629201</v>
      </c>
      <c r="M200" s="56">
        <v>457.64401251200502</v>
      </c>
      <c r="N200" s="57">
        <v>1187.1765779637799</v>
      </c>
      <c r="O200" s="56">
        <v>2656.4131997940999</v>
      </c>
      <c r="P200" s="56">
        <v>3748.5167469183598</v>
      </c>
      <c r="Q200" s="56">
        <v>6329.5979628518899</v>
      </c>
      <c r="R200" s="56">
        <v>14891.1188314844</v>
      </c>
      <c r="S200" s="56">
        <v>0</v>
      </c>
      <c r="T200" s="56">
        <v>0</v>
      </c>
      <c r="U200" s="56">
        <v>0</v>
      </c>
      <c r="V200" s="57">
        <v>86.841096233326198</v>
      </c>
      <c r="W200" s="56">
        <v>133.447753577295</v>
      </c>
      <c r="X200" s="56">
        <v>434.19706271793302</v>
      </c>
      <c r="Y200" s="57">
        <v>1140.9352152992301</v>
      </c>
      <c r="Z200" s="57">
        <v>2627.1564166060498</v>
      </c>
      <c r="AA200" s="56">
        <v>3748.5167469183598</v>
      </c>
      <c r="AB200" s="56">
        <v>6329.5979628518899</v>
      </c>
      <c r="AC200" s="57">
        <v>14891.1188314844</v>
      </c>
    </row>
    <row r="201" spans="2:29" ht="15" x14ac:dyDescent="0.25">
      <c r="B201" s="55" t="s">
        <v>341</v>
      </c>
      <c r="C201" s="55" t="s">
        <v>163</v>
      </c>
      <c r="D201" s="55" t="s">
        <v>271</v>
      </c>
      <c r="E201" s="55" t="s">
        <v>99</v>
      </c>
      <c r="F201" s="58">
        <v>105.376409557676</v>
      </c>
      <c r="G201" s="58">
        <v>1222.5200788643999</v>
      </c>
      <c r="H201" s="58">
        <v>0</v>
      </c>
      <c r="I201" s="58">
        <v>4.4931507043074399</v>
      </c>
      <c r="J201" s="59">
        <v>22.105479118939801</v>
      </c>
      <c r="K201" s="58">
        <v>123.319854163215</v>
      </c>
      <c r="L201" s="58">
        <v>189.88621411537801</v>
      </c>
      <c r="M201" s="58">
        <v>717.64111199889498</v>
      </c>
      <c r="N201" s="58">
        <v>1810.90897996336</v>
      </c>
      <c r="O201" s="58">
        <v>4028.37316668118</v>
      </c>
      <c r="P201" s="58">
        <v>5928.2905388709896</v>
      </c>
      <c r="Q201" s="58">
        <v>12219.97211404</v>
      </c>
      <c r="R201" s="58">
        <v>20321.511085014499</v>
      </c>
      <c r="S201" s="58">
        <v>0</v>
      </c>
      <c r="T201" s="58">
        <v>4.1643835237717903</v>
      </c>
      <c r="U201" s="58">
        <v>20.313698475403001</v>
      </c>
      <c r="V201" s="58">
        <v>120.213677828477</v>
      </c>
      <c r="W201" s="59">
        <v>182.12898786056999</v>
      </c>
      <c r="X201" s="58">
        <v>713.76013974090995</v>
      </c>
      <c r="Y201" s="58">
        <v>1768.6596037710201</v>
      </c>
      <c r="Z201" s="59">
        <v>4026.97042694428</v>
      </c>
      <c r="AA201" s="58">
        <v>5131.4111769043402</v>
      </c>
      <c r="AB201" s="58">
        <v>12219.97211404</v>
      </c>
      <c r="AC201" s="58">
        <v>20321.511085014499</v>
      </c>
    </row>
    <row r="202" spans="2:29" ht="15" x14ac:dyDescent="0.25">
      <c r="B202" s="54" t="s">
        <v>342</v>
      </c>
      <c r="C202" s="54" t="s">
        <v>163</v>
      </c>
      <c r="D202" s="54" t="s">
        <v>273</v>
      </c>
      <c r="E202" s="54" t="s">
        <v>99</v>
      </c>
      <c r="F202" s="56">
        <v>1.3636895039830199</v>
      </c>
      <c r="G202" s="56">
        <v>21.0910209683923</v>
      </c>
      <c r="H202" s="57">
        <v>0</v>
      </c>
      <c r="I202" s="56">
        <v>0</v>
      </c>
      <c r="J202" s="56">
        <v>0</v>
      </c>
      <c r="K202" s="56">
        <v>0</v>
      </c>
      <c r="L202" s="56">
        <v>0</v>
      </c>
      <c r="M202" s="56">
        <v>5.4460528891068396</v>
      </c>
      <c r="N202" s="57">
        <v>15.7027532833752</v>
      </c>
      <c r="O202" s="56">
        <v>47.340181628407898</v>
      </c>
      <c r="P202" s="56">
        <v>57.819224918770303</v>
      </c>
      <c r="Q202" s="56">
        <v>207.596394719898</v>
      </c>
      <c r="R202" s="56">
        <v>378.51122520279699</v>
      </c>
      <c r="S202" s="56">
        <v>0</v>
      </c>
      <c r="T202" s="56">
        <v>0</v>
      </c>
      <c r="U202" s="56">
        <v>0</v>
      </c>
      <c r="V202" s="57">
        <v>0</v>
      </c>
      <c r="W202" s="56">
        <v>0</v>
      </c>
      <c r="X202" s="56">
        <v>5.0730147358229001</v>
      </c>
      <c r="Y202" s="57">
        <v>15.7027532833752</v>
      </c>
      <c r="Z202" s="57">
        <v>47.340181628407898</v>
      </c>
      <c r="AA202" s="56">
        <v>57.819224918770303</v>
      </c>
      <c r="AB202" s="56">
        <v>207.596394719898</v>
      </c>
      <c r="AC202" s="57">
        <v>378.51122520279699</v>
      </c>
    </row>
    <row r="203" spans="2:29" ht="15" x14ac:dyDescent="0.25">
      <c r="B203" s="55" t="s">
        <v>343</v>
      </c>
      <c r="C203" s="55" t="s">
        <v>180</v>
      </c>
      <c r="D203" s="55" t="s">
        <v>229</v>
      </c>
      <c r="E203" s="55" t="s">
        <v>99</v>
      </c>
      <c r="F203" s="58">
        <v>1329258.8494921001</v>
      </c>
      <c r="G203" s="58">
        <v>3013859.62280811</v>
      </c>
      <c r="H203" s="58">
        <v>436613.43441025401</v>
      </c>
      <c r="I203" s="58">
        <v>1672267.7642701501</v>
      </c>
      <c r="J203" s="59">
        <v>3115832.8866244601</v>
      </c>
      <c r="K203" s="58">
        <v>5401611.7218324197</v>
      </c>
      <c r="L203" s="58">
        <v>6276782.5260340404</v>
      </c>
      <c r="M203" s="58">
        <v>9900917.1221994702</v>
      </c>
      <c r="N203" s="58">
        <v>14395032.6650747</v>
      </c>
      <c r="O203" s="58">
        <v>20051252.041169699</v>
      </c>
      <c r="P203" s="58">
        <v>22024426.277574301</v>
      </c>
      <c r="Q203" s="58">
        <v>26577119.7035955</v>
      </c>
      <c r="R203" s="58">
        <v>34609278.256375097</v>
      </c>
      <c r="S203" s="58">
        <v>298420.84818675503</v>
      </c>
      <c r="T203" s="58">
        <v>1052801.2274603399</v>
      </c>
      <c r="U203" s="58">
        <v>1985717.4090827</v>
      </c>
      <c r="V203" s="58">
        <v>3539107.1805328098</v>
      </c>
      <c r="W203" s="59">
        <v>4305533.7212497396</v>
      </c>
      <c r="X203" s="58">
        <v>7118027.1115410198</v>
      </c>
      <c r="Y203" s="58">
        <v>11010470.106643001</v>
      </c>
      <c r="Z203" s="59">
        <v>15498937.049267299</v>
      </c>
      <c r="AA203" s="58">
        <v>16372294.236384099</v>
      </c>
      <c r="AB203" s="58">
        <v>21576169.251269799</v>
      </c>
      <c r="AC203" s="58">
        <v>25260368.256067902</v>
      </c>
    </row>
    <row r="204" spans="2:29" ht="15" x14ac:dyDescent="0.25">
      <c r="B204" s="54" t="s">
        <v>344</v>
      </c>
      <c r="C204" s="54" t="s">
        <v>180</v>
      </c>
      <c r="D204" s="54" t="s">
        <v>345</v>
      </c>
      <c r="E204" s="54" t="s">
        <v>99</v>
      </c>
      <c r="F204" s="56">
        <v>3549850.4648308801</v>
      </c>
      <c r="G204" s="56">
        <v>8688816.6958917491</v>
      </c>
      <c r="H204" s="57">
        <v>967125.71643313405</v>
      </c>
      <c r="I204" s="56">
        <v>4542378.4462083504</v>
      </c>
      <c r="J204" s="56">
        <v>8724327.2007367909</v>
      </c>
      <c r="K204" s="56">
        <v>14295962.401750799</v>
      </c>
      <c r="L204" s="56">
        <v>16558020.6746719</v>
      </c>
      <c r="M204" s="56">
        <v>26248739.140822198</v>
      </c>
      <c r="N204" s="57">
        <v>38524392.600547701</v>
      </c>
      <c r="O204" s="56">
        <v>52552243.249681197</v>
      </c>
      <c r="P204" s="56">
        <v>56478147.455038197</v>
      </c>
      <c r="Q204" s="56">
        <v>84115570.111061797</v>
      </c>
      <c r="R204" s="56">
        <v>102938889.49254</v>
      </c>
      <c r="S204" s="56">
        <v>662772.22140337504</v>
      </c>
      <c r="T204" s="56">
        <v>3174798.4125371398</v>
      </c>
      <c r="U204" s="56">
        <v>5956007.9096403103</v>
      </c>
      <c r="V204" s="57">
        <v>9700275.4960126597</v>
      </c>
      <c r="W204" s="56">
        <v>11471464.2073581</v>
      </c>
      <c r="X204" s="56">
        <v>18545501.647669401</v>
      </c>
      <c r="Y204" s="57">
        <v>31133123.461660501</v>
      </c>
      <c r="Z204" s="57">
        <v>41687490.465820499</v>
      </c>
      <c r="AA204" s="56">
        <v>46868676.536374301</v>
      </c>
      <c r="AB204" s="56">
        <v>65352765.012345202</v>
      </c>
      <c r="AC204" s="57">
        <v>76679210.211520702</v>
      </c>
    </row>
    <row r="205" spans="2:29" ht="15" x14ac:dyDescent="0.25">
      <c r="B205" s="55" t="s">
        <v>346</v>
      </c>
      <c r="C205" s="55" t="s">
        <v>180</v>
      </c>
      <c r="D205" s="55" t="s">
        <v>231</v>
      </c>
      <c r="E205" s="55" t="s">
        <v>99</v>
      </c>
      <c r="F205" s="58">
        <v>50723.183129703102</v>
      </c>
      <c r="G205" s="58">
        <v>131120.57511564001</v>
      </c>
      <c r="H205" s="58">
        <v>378.90037025987198</v>
      </c>
      <c r="I205" s="58">
        <v>42616.280829505202</v>
      </c>
      <c r="J205" s="59">
        <v>97017.694740943203</v>
      </c>
      <c r="K205" s="58">
        <v>385954.02440661099</v>
      </c>
      <c r="L205" s="58">
        <v>413494.22513032198</v>
      </c>
      <c r="M205" s="58">
        <v>494121.533972351</v>
      </c>
      <c r="N205" s="58">
        <v>571607.02878447098</v>
      </c>
      <c r="O205" s="58">
        <v>786005.49082676496</v>
      </c>
      <c r="P205" s="58">
        <v>828206.91396126803</v>
      </c>
      <c r="Q205" s="58">
        <v>935122.71704116696</v>
      </c>
      <c r="R205" s="58">
        <v>1120488.8070741501</v>
      </c>
      <c r="S205" s="58">
        <v>352.36694931483203</v>
      </c>
      <c r="T205" s="58">
        <v>31534.594802351799</v>
      </c>
      <c r="U205" s="58">
        <v>64079.449126227002</v>
      </c>
      <c r="V205" s="58">
        <v>371610.35238067101</v>
      </c>
      <c r="W205" s="59">
        <v>385425.77875805402</v>
      </c>
      <c r="X205" s="58">
        <v>443923.61312649999</v>
      </c>
      <c r="Y205" s="58">
        <v>486622.15401109698</v>
      </c>
      <c r="Z205" s="59">
        <v>516723.980236498</v>
      </c>
      <c r="AA205" s="58">
        <v>532253.69197911001</v>
      </c>
      <c r="AB205" s="58">
        <v>573902.41844949499</v>
      </c>
      <c r="AC205" s="58">
        <v>649803.65779952204</v>
      </c>
    </row>
    <row r="206" spans="2:29" ht="15" x14ac:dyDescent="0.25">
      <c r="B206" s="54" t="s">
        <v>347</v>
      </c>
      <c r="C206" s="54" t="s">
        <v>180</v>
      </c>
      <c r="D206" s="54" t="s">
        <v>233</v>
      </c>
      <c r="E206" s="54" t="s">
        <v>99</v>
      </c>
      <c r="F206" s="56">
        <v>78.515603670690894</v>
      </c>
      <c r="G206" s="56">
        <v>169.78089568924</v>
      </c>
      <c r="H206" s="57">
        <v>1.84769209565891</v>
      </c>
      <c r="I206" s="56">
        <v>130.81508629534099</v>
      </c>
      <c r="J206" s="56">
        <v>227.20586091580699</v>
      </c>
      <c r="K206" s="56">
        <v>337.04128434632798</v>
      </c>
      <c r="L206" s="56">
        <v>365.90989486004202</v>
      </c>
      <c r="M206" s="56">
        <v>497.22227975130301</v>
      </c>
      <c r="N206" s="57">
        <v>684.99720086111597</v>
      </c>
      <c r="O206" s="56">
        <v>870.89879656655899</v>
      </c>
      <c r="P206" s="56">
        <v>959.11102705250198</v>
      </c>
      <c r="Q206" s="56">
        <v>1302.02647242735</v>
      </c>
      <c r="R206" s="56">
        <v>1748.21081004545</v>
      </c>
      <c r="S206" s="56">
        <v>1.6305933902024801</v>
      </c>
      <c r="T206" s="56">
        <v>112.90956195845099</v>
      </c>
      <c r="U206" s="56">
        <v>167.278897664136</v>
      </c>
      <c r="V206" s="57">
        <v>222.13059865917401</v>
      </c>
      <c r="W206" s="56">
        <v>243.405176160417</v>
      </c>
      <c r="X206" s="56">
        <v>336.51946448517998</v>
      </c>
      <c r="Y206" s="57">
        <v>471.73334490687</v>
      </c>
      <c r="Z206" s="57">
        <v>622.26987681836295</v>
      </c>
      <c r="AA206" s="56">
        <v>673.812269212758</v>
      </c>
      <c r="AB206" s="56">
        <v>1030.6250397492599</v>
      </c>
      <c r="AC206" s="57">
        <v>1354.1734134303799</v>
      </c>
    </row>
    <row r="207" spans="2:29" ht="15" x14ac:dyDescent="0.25">
      <c r="B207" s="55" t="s">
        <v>348</v>
      </c>
      <c r="C207" s="55" t="s">
        <v>180</v>
      </c>
      <c r="D207" s="55" t="s">
        <v>237</v>
      </c>
      <c r="E207" s="55" t="s">
        <v>99</v>
      </c>
      <c r="F207" s="58">
        <v>6524.1525583951898</v>
      </c>
      <c r="G207" s="58">
        <v>18062.058040584801</v>
      </c>
      <c r="H207" s="58">
        <v>1630.56774899891</v>
      </c>
      <c r="I207" s="58">
        <v>7694.5296791945202</v>
      </c>
      <c r="J207" s="59">
        <v>14308.317637767401</v>
      </c>
      <c r="K207" s="58">
        <v>22724.580900687499</v>
      </c>
      <c r="L207" s="58">
        <v>27206.190787377502</v>
      </c>
      <c r="M207" s="58">
        <v>51625.780943728198</v>
      </c>
      <c r="N207" s="58">
        <v>98135.094710016798</v>
      </c>
      <c r="O207" s="58">
        <v>132126.44054586501</v>
      </c>
      <c r="P207" s="58">
        <v>140719.21444782201</v>
      </c>
      <c r="Q207" s="58">
        <v>179692.09112205499</v>
      </c>
      <c r="R207" s="58">
        <v>212323.80153541599</v>
      </c>
      <c r="S207" s="58">
        <v>1181.7391063366299</v>
      </c>
      <c r="T207" s="58">
        <v>5305.9121922701397</v>
      </c>
      <c r="U207" s="58">
        <v>9013.8120663405298</v>
      </c>
      <c r="V207" s="58">
        <v>15730.030576971099</v>
      </c>
      <c r="W207" s="59">
        <v>18068.619031968399</v>
      </c>
      <c r="X207" s="58">
        <v>41866.590657453598</v>
      </c>
      <c r="Y207" s="58">
        <v>83049.485333685501</v>
      </c>
      <c r="Z207" s="59">
        <v>116305.99665432599</v>
      </c>
      <c r="AA207" s="58">
        <v>124699.456276738</v>
      </c>
      <c r="AB207" s="58">
        <v>144983.92664585801</v>
      </c>
      <c r="AC207" s="58">
        <v>176055.135512554</v>
      </c>
    </row>
    <row r="208" spans="2:29" ht="15" x14ac:dyDescent="0.25">
      <c r="B208" s="54" t="s">
        <v>349</v>
      </c>
      <c r="C208" s="54" t="s">
        <v>180</v>
      </c>
      <c r="D208" s="54" t="s">
        <v>239</v>
      </c>
      <c r="E208" s="54" t="s">
        <v>99</v>
      </c>
      <c r="F208" s="56">
        <v>35.160854625234798</v>
      </c>
      <c r="G208" s="56">
        <v>93.905916679093096</v>
      </c>
      <c r="H208" s="57">
        <v>0</v>
      </c>
      <c r="I208" s="56">
        <v>67.133905772080695</v>
      </c>
      <c r="J208" s="56">
        <v>95.172120935854807</v>
      </c>
      <c r="K208" s="56">
        <v>165.63678098890301</v>
      </c>
      <c r="L208" s="56">
        <v>204.36966133222501</v>
      </c>
      <c r="M208" s="56">
        <v>288.420431208747</v>
      </c>
      <c r="N208" s="57">
        <v>374.55909141956897</v>
      </c>
      <c r="O208" s="56">
        <v>486.08562083027499</v>
      </c>
      <c r="P208" s="56">
        <v>516.059517822678</v>
      </c>
      <c r="Q208" s="56">
        <v>831.22396006231497</v>
      </c>
      <c r="R208" s="56">
        <v>1230.64354722237</v>
      </c>
      <c r="S208" s="56">
        <v>0</v>
      </c>
      <c r="T208" s="56">
        <v>65.903461830377907</v>
      </c>
      <c r="U208" s="56">
        <v>90.363267463109594</v>
      </c>
      <c r="V208" s="57">
        <v>156.43053134166701</v>
      </c>
      <c r="W208" s="56">
        <v>165.336139723142</v>
      </c>
      <c r="X208" s="56">
        <v>219.08328422939999</v>
      </c>
      <c r="Y208" s="57">
        <v>288.97903593395301</v>
      </c>
      <c r="Z208" s="57">
        <v>374.127313500475</v>
      </c>
      <c r="AA208" s="56">
        <v>374.59746454716702</v>
      </c>
      <c r="AB208" s="56">
        <v>672.74688867402301</v>
      </c>
      <c r="AC208" s="57">
        <v>891.761699387009</v>
      </c>
    </row>
    <row r="209" spans="2:29" ht="15" x14ac:dyDescent="0.25">
      <c r="B209" s="55" t="s">
        <v>350</v>
      </c>
      <c r="C209" s="55" t="s">
        <v>180</v>
      </c>
      <c r="D209" s="55" t="s">
        <v>241</v>
      </c>
      <c r="E209" s="55" t="s">
        <v>99</v>
      </c>
      <c r="F209" s="58">
        <v>5889.71575999584</v>
      </c>
      <c r="G209" s="58">
        <v>11159.1330727657</v>
      </c>
      <c r="H209" s="58">
        <v>0</v>
      </c>
      <c r="I209" s="58">
        <v>9319.0157487932993</v>
      </c>
      <c r="J209" s="59">
        <v>17549.160544246301</v>
      </c>
      <c r="K209" s="58">
        <v>24733.008704100299</v>
      </c>
      <c r="L209" s="58">
        <v>26665.970549503902</v>
      </c>
      <c r="M209" s="58">
        <v>35693.47208983</v>
      </c>
      <c r="N209" s="58">
        <v>47773.595142133898</v>
      </c>
      <c r="O209" s="58">
        <v>63392.1612358477</v>
      </c>
      <c r="P209" s="58">
        <v>66428.349703482207</v>
      </c>
      <c r="Q209" s="58">
        <v>88365.597666077199</v>
      </c>
      <c r="R209" s="58">
        <v>122238.104880295</v>
      </c>
      <c r="S209" s="58">
        <v>0</v>
      </c>
      <c r="T209" s="58">
        <v>8954.5659149297207</v>
      </c>
      <c r="U209" s="58">
        <v>12502.9166474996</v>
      </c>
      <c r="V209" s="58">
        <v>14398.388624560001</v>
      </c>
      <c r="W209" s="59">
        <v>18107.552695286799</v>
      </c>
      <c r="X209" s="58">
        <v>24851.065240616201</v>
      </c>
      <c r="Y209" s="58">
        <v>33641.655546443901</v>
      </c>
      <c r="Z209" s="59">
        <v>47465.788305342503</v>
      </c>
      <c r="AA209" s="58">
        <v>47754.382963151897</v>
      </c>
      <c r="AB209" s="58">
        <v>66133.091308546194</v>
      </c>
      <c r="AC209" s="58">
        <v>88004.013758821806</v>
      </c>
    </row>
    <row r="210" spans="2:29" ht="15" x14ac:dyDescent="0.25">
      <c r="B210" s="54" t="s">
        <v>351</v>
      </c>
      <c r="C210" s="54" t="s">
        <v>180</v>
      </c>
      <c r="D210" s="54" t="s">
        <v>243</v>
      </c>
      <c r="E210" s="54" t="s">
        <v>99</v>
      </c>
      <c r="F210" s="56">
        <v>11999.402169387</v>
      </c>
      <c r="G210" s="56">
        <v>24161.2992640552</v>
      </c>
      <c r="H210" s="57">
        <v>545.751317439383</v>
      </c>
      <c r="I210" s="56">
        <v>19386.946746828798</v>
      </c>
      <c r="J210" s="56">
        <v>34032.174062956103</v>
      </c>
      <c r="K210" s="56">
        <v>49925.794213395697</v>
      </c>
      <c r="L210" s="56">
        <v>55271.9887872986</v>
      </c>
      <c r="M210" s="56">
        <v>77785.80958719</v>
      </c>
      <c r="N210" s="57">
        <v>105076.47324716501</v>
      </c>
      <c r="O210" s="56">
        <v>132806.79412499801</v>
      </c>
      <c r="P210" s="56">
        <v>146143.62417874701</v>
      </c>
      <c r="Q210" s="56">
        <v>211503.615961067</v>
      </c>
      <c r="R210" s="56">
        <v>264186.74355687702</v>
      </c>
      <c r="S210" s="56">
        <v>425.57856999672902</v>
      </c>
      <c r="T210" s="56">
        <v>16401.283893980599</v>
      </c>
      <c r="U210" s="56">
        <v>23773.720018096301</v>
      </c>
      <c r="V210" s="57">
        <v>33334.253664911601</v>
      </c>
      <c r="W210" s="56">
        <v>35970.048742909399</v>
      </c>
      <c r="X210" s="56">
        <v>51605.906967525902</v>
      </c>
      <c r="Y210" s="57">
        <v>71603.632903709004</v>
      </c>
      <c r="Z210" s="57">
        <v>100451.446982558</v>
      </c>
      <c r="AA210" s="56">
        <v>108895.261643547</v>
      </c>
      <c r="AB210" s="56">
        <v>147607.43358366101</v>
      </c>
      <c r="AC210" s="57">
        <v>200055.666635767</v>
      </c>
    </row>
    <row r="211" spans="2:29" ht="15" x14ac:dyDescent="0.25">
      <c r="B211" s="55" t="s">
        <v>352</v>
      </c>
      <c r="C211" s="55" t="s">
        <v>180</v>
      </c>
      <c r="D211" s="55" t="s">
        <v>245</v>
      </c>
      <c r="E211" s="55" t="s">
        <v>99</v>
      </c>
      <c r="F211" s="58">
        <v>3845.1841690281999</v>
      </c>
      <c r="G211" s="58">
        <v>7448.2943021165202</v>
      </c>
      <c r="H211" s="58">
        <v>7.7605176196852099</v>
      </c>
      <c r="I211" s="58">
        <v>6257.4722110092598</v>
      </c>
      <c r="J211" s="59">
        <v>11167.943617289</v>
      </c>
      <c r="K211" s="58">
        <v>16269.154245595701</v>
      </c>
      <c r="L211" s="58">
        <v>17794.855752634699</v>
      </c>
      <c r="M211" s="58">
        <v>23997.8592392604</v>
      </c>
      <c r="N211" s="58">
        <v>32500.0917824561</v>
      </c>
      <c r="O211" s="58">
        <v>42306.880308838197</v>
      </c>
      <c r="P211" s="58">
        <v>46175.697419035103</v>
      </c>
      <c r="Q211" s="58">
        <v>60396.452483153</v>
      </c>
      <c r="R211" s="58">
        <v>80205.756544853793</v>
      </c>
      <c r="S211" s="58">
        <v>7.7605176196852099</v>
      </c>
      <c r="T211" s="58">
        <v>5600.5216817993596</v>
      </c>
      <c r="U211" s="58">
        <v>8002.7934165897504</v>
      </c>
      <c r="V211" s="58">
        <v>10880.443044953399</v>
      </c>
      <c r="W211" s="59">
        <v>11723.6434142694</v>
      </c>
      <c r="X211" s="58">
        <v>16262.2234112399</v>
      </c>
      <c r="Y211" s="58">
        <v>22974.288158438801</v>
      </c>
      <c r="Z211" s="59">
        <v>31793.041252371899</v>
      </c>
      <c r="AA211" s="58">
        <v>33399.975177076201</v>
      </c>
      <c r="AB211" s="58">
        <v>42664.979425113197</v>
      </c>
      <c r="AC211" s="58">
        <v>65742.730067086697</v>
      </c>
    </row>
    <row r="212" spans="2:29" ht="15" x14ac:dyDescent="0.25">
      <c r="B212" s="54" t="s">
        <v>353</v>
      </c>
      <c r="C212" s="54" t="s">
        <v>180</v>
      </c>
      <c r="D212" s="54" t="s">
        <v>247</v>
      </c>
      <c r="E212" s="54" t="s">
        <v>99</v>
      </c>
      <c r="F212" s="56">
        <v>6809.2457926521502</v>
      </c>
      <c r="G212" s="56">
        <v>13979.158193256801</v>
      </c>
      <c r="H212" s="57">
        <v>0</v>
      </c>
      <c r="I212" s="56">
        <v>10642.772018108401</v>
      </c>
      <c r="J212" s="56">
        <v>20370.7049936523</v>
      </c>
      <c r="K212" s="56">
        <v>28129.9167385734</v>
      </c>
      <c r="L212" s="56">
        <v>30316.514727944399</v>
      </c>
      <c r="M212" s="56">
        <v>39809.513709466599</v>
      </c>
      <c r="N212" s="57">
        <v>53563.209455315198</v>
      </c>
      <c r="O212" s="56">
        <v>70487.787489271504</v>
      </c>
      <c r="P212" s="56">
        <v>72813.980838474599</v>
      </c>
      <c r="Q212" s="56">
        <v>99776.9702214672</v>
      </c>
      <c r="R212" s="56">
        <v>138614.11521142899</v>
      </c>
      <c r="S212" s="56">
        <v>0</v>
      </c>
      <c r="T212" s="56">
        <v>10365.1008133256</v>
      </c>
      <c r="U212" s="56">
        <v>14401.9296894578</v>
      </c>
      <c r="V212" s="57">
        <v>14986.5610077537</v>
      </c>
      <c r="W212" s="56">
        <v>20474.6226640362</v>
      </c>
      <c r="X212" s="56">
        <v>28266.680876064602</v>
      </c>
      <c r="Y212" s="57">
        <v>38371.116414657503</v>
      </c>
      <c r="Z212" s="57">
        <v>52533.4150814721</v>
      </c>
      <c r="AA212" s="56">
        <v>52850.353691064702</v>
      </c>
      <c r="AB212" s="56">
        <v>70594.522123066403</v>
      </c>
      <c r="AC212" s="57">
        <v>96460.705759739401</v>
      </c>
    </row>
    <row r="213" spans="2:29" ht="15" x14ac:dyDescent="0.25">
      <c r="B213" s="55" t="s">
        <v>354</v>
      </c>
      <c r="C213" s="55" t="s">
        <v>180</v>
      </c>
      <c r="D213" s="55" t="s">
        <v>249</v>
      </c>
      <c r="E213" s="55" t="s">
        <v>99</v>
      </c>
      <c r="F213" s="58">
        <v>4956.7367655069802</v>
      </c>
      <c r="G213" s="58">
        <v>10917.715395217399</v>
      </c>
      <c r="H213" s="58">
        <v>495.97571550974197</v>
      </c>
      <c r="I213" s="58">
        <v>7700.6624190727098</v>
      </c>
      <c r="J213" s="59">
        <v>13659.4025476723</v>
      </c>
      <c r="K213" s="58">
        <v>20321.5183799269</v>
      </c>
      <c r="L213" s="58">
        <v>22871.801665044899</v>
      </c>
      <c r="M213" s="58">
        <v>33084.631301843801</v>
      </c>
      <c r="N213" s="58">
        <v>46113.085956146002</v>
      </c>
      <c r="O213" s="58">
        <v>62027.291456594197</v>
      </c>
      <c r="P213" s="58">
        <v>69367.9378561638</v>
      </c>
      <c r="Q213" s="58">
        <v>95374.173778811601</v>
      </c>
      <c r="R213" s="58">
        <v>133381.53024774801</v>
      </c>
      <c r="S213" s="58">
        <v>478.94315077854498</v>
      </c>
      <c r="T213" s="58">
        <v>6384.8089508390303</v>
      </c>
      <c r="U213" s="58">
        <v>9563.1647188061197</v>
      </c>
      <c r="V213" s="58">
        <v>13401.7645909434</v>
      </c>
      <c r="W213" s="59">
        <v>14684.055555865099</v>
      </c>
      <c r="X213" s="58">
        <v>22028.6939862664</v>
      </c>
      <c r="Y213" s="58">
        <v>33517.095559185203</v>
      </c>
      <c r="Z213" s="59">
        <v>49908.622174951997</v>
      </c>
      <c r="AA213" s="58">
        <v>54477.593471725901</v>
      </c>
      <c r="AB213" s="58">
        <v>76829.827356487804</v>
      </c>
      <c r="AC213" s="58">
        <v>100375.08432032799</v>
      </c>
    </row>
    <row r="214" spans="2:29" ht="15" x14ac:dyDescent="0.25">
      <c r="B214" s="54" t="s">
        <v>355</v>
      </c>
      <c r="C214" s="54" t="s">
        <v>180</v>
      </c>
      <c r="D214" s="54" t="s">
        <v>251</v>
      </c>
      <c r="E214" s="54" t="s">
        <v>99</v>
      </c>
      <c r="F214" s="56">
        <v>26433.854403266101</v>
      </c>
      <c r="G214" s="56">
        <v>67190.718554584804</v>
      </c>
      <c r="H214" s="57">
        <v>7050.6436497752702</v>
      </c>
      <c r="I214" s="56">
        <v>35338.8390567725</v>
      </c>
      <c r="J214" s="56">
        <v>63915.514497693999</v>
      </c>
      <c r="K214" s="56">
        <v>98739.904962842702</v>
      </c>
      <c r="L214" s="56">
        <v>115022.310729155</v>
      </c>
      <c r="M214" s="56">
        <v>189015.091672393</v>
      </c>
      <c r="N214" s="57">
        <v>340698.297888192</v>
      </c>
      <c r="O214" s="56">
        <v>454404.03949431801</v>
      </c>
      <c r="P214" s="56">
        <v>481176.76629923302</v>
      </c>
      <c r="Q214" s="56">
        <v>620261.25742575096</v>
      </c>
      <c r="R214" s="56">
        <v>798164.391505001</v>
      </c>
      <c r="S214" s="56">
        <v>5496.3895187036796</v>
      </c>
      <c r="T214" s="56">
        <v>26192.1387083804</v>
      </c>
      <c r="U214" s="56">
        <v>42932.759917863703</v>
      </c>
      <c r="V214" s="57">
        <v>67325.802460413499</v>
      </c>
      <c r="W214" s="56">
        <v>77202.592359873393</v>
      </c>
      <c r="X214" s="56">
        <v>140659.99883545699</v>
      </c>
      <c r="Y214" s="57">
        <v>300575.63529225503</v>
      </c>
      <c r="Z214" s="57">
        <v>385036.82013569999</v>
      </c>
      <c r="AA214" s="56">
        <v>399672.11982606602</v>
      </c>
      <c r="AB214" s="56">
        <v>488265.90123798797</v>
      </c>
      <c r="AC214" s="57">
        <v>611287.211231202</v>
      </c>
    </row>
    <row r="215" spans="2:29" ht="15" x14ac:dyDescent="0.25">
      <c r="B215" s="55" t="s">
        <v>356</v>
      </c>
      <c r="C215" s="55" t="s">
        <v>180</v>
      </c>
      <c r="D215" s="55" t="s">
        <v>253</v>
      </c>
      <c r="E215" s="55" t="s">
        <v>99</v>
      </c>
      <c r="F215" s="58">
        <v>1012.93640845972</v>
      </c>
      <c r="G215" s="58">
        <v>1915.9465791284399</v>
      </c>
      <c r="H215" s="58">
        <v>23.769326329638201</v>
      </c>
      <c r="I215" s="58">
        <v>1682.8377394187</v>
      </c>
      <c r="J215" s="59">
        <v>2963.6555676545099</v>
      </c>
      <c r="K215" s="58">
        <v>4194.0095484321901</v>
      </c>
      <c r="L215" s="58">
        <v>4555.22413100012</v>
      </c>
      <c r="M215" s="58">
        <v>6181.5553016513004</v>
      </c>
      <c r="N215" s="58">
        <v>8408.4269629369101</v>
      </c>
      <c r="O215" s="58">
        <v>10709.6621536073</v>
      </c>
      <c r="P215" s="58">
        <v>11949.6490772426</v>
      </c>
      <c r="Q215" s="58">
        <v>14944.324728687599</v>
      </c>
      <c r="R215" s="58">
        <v>20293.8978909258</v>
      </c>
      <c r="S215" s="58">
        <v>17.9981165481218</v>
      </c>
      <c r="T215" s="58">
        <v>1453.94109785724</v>
      </c>
      <c r="U215" s="58">
        <v>2050.5084742951099</v>
      </c>
      <c r="V215" s="58">
        <v>2784.83277080368</v>
      </c>
      <c r="W215" s="59">
        <v>2999.3912559166301</v>
      </c>
      <c r="X215" s="58">
        <v>4193.4088904891296</v>
      </c>
      <c r="Y215" s="58">
        <v>5888.5961735216097</v>
      </c>
      <c r="Z215" s="59">
        <v>7938.7607544291504</v>
      </c>
      <c r="AA215" s="58">
        <v>8250.3423493523496</v>
      </c>
      <c r="AB215" s="58">
        <v>10860.5166341515</v>
      </c>
      <c r="AC215" s="58">
        <v>15779.152338866001</v>
      </c>
    </row>
    <row r="216" spans="2:29" ht="15" x14ac:dyDescent="0.25">
      <c r="B216" s="54" t="s">
        <v>357</v>
      </c>
      <c r="C216" s="54" t="s">
        <v>180</v>
      </c>
      <c r="D216" s="54" t="s">
        <v>267</v>
      </c>
      <c r="E216" s="54" t="s">
        <v>99</v>
      </c>
      <c r="F216" s="56">
        <v>117621.83706681999</v>
      </c>
      <c r="G216" s="56">
        <v>300225.54907295899</v>
      </c>
      <c r="H216" s="57">
        <v>5051.0057529915903</v>
      </c>
      <c r="I216" s="56">
        <v>164667.01268924199</v>
      </c>
      <c r="J216" s="56">
        <v>302515.13188232901</v>
      </c>
      <c r="K216" s="56">
        <v>476545.63339729101</v>
      </c>
      <c r="L216" s="56">
        <v>542245.60781078297</v>
      </c>
      <c r="M216" s="56">
        <v>891906.19250966003</v>
      </c>
      <c r="N216" s="57">
        <v>1381725.0237161701</v>
      </c>
      <c r="O216" s="56">
        <v>1835077.12720495</v>
      </c>
      <c r="P216" s="56">
        <v>1992446.5690977899</v>
      </c>
      <c r="Q216" s="56">
        <v>2792425.3450255198</v>
      </c>
      <c r="R216" s="56">
        <v>3596796.4646488801</v>
      </c>
      <c r="S216" s="56">
        <v>4203.0340306064099</v>
      </c>
      <c r="T216" s="56">
        <v>132326.91669187701</v>
      </c>
      <c r="U216" s="56">
        <v>206411.606953701</v>
      </c>
      <c r="V216" s="57">
        <v>330988.16082368803</v>
      </c>
      <c r="W216" s="56">
        <v>379451.01614825003</v>
      </c>
      <c r="X216" s="56">
        <v>667563.347714804</v>
      </c>
      <c r="Y216" s="57">
        <v>1203898.5947203301</v>
      </c>
      <c r="Z216" s="57">
        <v>1566742.8977137699</v>
      </c>
      <c r="AA216" s="56">
        <v>1693071.0562265301</v>
      </c>
      <c r="AB216" s="56">
        <v>2019138.4031630801</v>
      </c>
      <c r="AC216" s="57">
        <v>3018312.9610359301</v>
      </c>
    </row>
    <row r="217" spans="2:29" ht="15" x14ac:dyDescent="0.25">
      <c r="B217" s="55" t="s">
        <v>358</v>
      </c>
      <c r="C217" s="55" t="s">
        <v>180</v>
      </c>
      <c r="D217" s="55" t="s">
        <v>269</v>
      </c>
      <c r="E217" s="55" t="s">
        <v>99</v>
      </c>
      <c r="F217" s="58">
        <v>5023.7451095899396</v>
      </c>
      <c r="G217" s="58">
        <v>27961.491880852202</v>
      </c>
      <c r="H217" s="58">
        <v>0</v>
      </c>
      <c r="I217" s="58">
        <v>3008.3624212273699</v>
      </c>
      <c r="J217" s="59">
        <v>7373.8469168045704</v>
      </c>
      <c r="K217" s="58">
        <v>16287.6822420678</v>
      </c>
      <c r="L217" s="58">
        <v>19601.8723708789</v>
      </c>
      <c r="M217" s="58">
        <v>39800.146497718801</v>
      </c>
      <c r="N217" s="58">
        <v>172037.052406742</v>
      </c>
      <c r="O217" s="58">
        <v>203531.370123131</v>
      </c>
      <c r="P217" s="58">
        <v>210732.54547835799</v>
      </c>
      <c r="Q217" s="58">
        <v>268919.693309344</v>
      </c>
      <c r="R217" s="58">
        <v>356637.79454859399</v>
      </c>
      <c r="S217" s="58">
        <v>0</v>
      </c>
      <c r="T217" s="58">
        <v>3008.3624212273699</v>
      </c>
      <c r="U217" s="58">
        <v>6067.2584289188499</v>
      </c>
      <c r="V217" s="58">
        <v>14703.8074178397</v>
      </c>
      <c r="W217" s="59">
        <v>17605.2545805029</v>
      </c>
      <c r="X217" s="58">
        <v>35020.183868055698</v>
      </c>
      <c r="Y217" s="58">
        <v>166569.136355489</v>
      </c>
      <c r="Z217" s="59">
        <v>189610.98913608101</v>
      </c>
      <c r="AA217" s="58">
        <v>197282.33380163199</v>
      </c>
      <c r="AB217" s="58">
        <v>222399.793070257</v>
      </c>
      <c r="AC217" s="58">
        <v>324742.51076780999</v>
      </c>
    </row>
    <row r="218" spans="2:29" ht="15" x14ac:dyDescent="0.25">
      <c r="B218" s="54" t="s">
        <v>359</v>
      </c>
      <c r="C218" s="54" t="s">
        <v>180</v>
      </c>
      <c r="D218" s="54" t="s">
        <v>273</v>
      </c>
      <c r="E218" s="54" t="s">
        <v>99</v>
      </c>
      <c r="F218" s="56">
        <v>212.84704966213101</v>
      </c>
      <c r="G218" s="56">
        <v>388.90500365898799</v>
      </c>
      <c r="H218" s="57">
        <v>33.564245437505498</v>
      </c>
      <c r="I218" s="56">
        <v>346.02254667934801</v>
      </c>
      <c r="J218" s="56">
        <v>599.70000633589802</v>
      </c>
      <c r="K218" s="56">
        <v>872.75137777457803</v>
      </c>
      <c r="L218" s="56">
        <v>924.77921996373504</v>
      </c>
      <c r="M218" s="56">
        <v>1230.3994737103901</v>
      </c>
      <c r="N218" s="57">
        <v>1640.35455858251</v>
      </c>
      <c r="O218" s="56">
        <v>2095.09735503399</v>
      </c>
      <c r="P218" s="56">
        <v>2258.3283323314899</v>
      </c>
      <c r="Q218" s="56">
        <v>3017.24775678489</v>
      </c>
      <c r="R218" s="56">
        <v>4135.3777620760702</v>
      </c>
      <c r="S218" s="56">
        <v>25.1286207378391</v>
      </c>
      <c r="T218" s="56">
        <v>309.57284248881302</v>
      </c>
      <c r="U218" s="56">
        <v>436.99879117251601</v>
      </c>
      <c r="V218" s="57">
        <v>504.80261352463702</v>
      </c>
      <c r="W218" s="56">
        <v>595.46000087425796</v>
      </c>
      <c r="X218" s="56">
        <v>869.15115018460597</v>
      </c>
      <c r="Y218" s="57">
        <v>1153.70585299703</v>
      </c>
      <c r="Z218" s="57">
        <v>1565.25236438297</v>
      </c>
      <c r="AA218" s="56">
        <v>1566.70664243241</v>
      </c>
      <c r="AB218" s="56">
        <v>2139.9180501317401</v>
      </c>
      <c r="AC218" s="57">
        <v>2804.0279386524899</v>
      </c>
    </row>
    <row r="219" spans="2:29" ht="15" x14ac:dyDescent="0.25">
      <c r="B219" s="55" t="s">
        <v>360</v>
      </c>
      <c r="C219" s="55" t="s">
        <v>193</v>
      </c>
      <c r="D219" s="55" t="s">
        <v>229</v>
      </c>
      <c r="E219" s="55" t="s">
        <v>99</v>
      </c>
      <c r="F219" s="58">
        <v>2016654.51877019</v>
      </c>
      <c r="G219" s="58">
        <v>4355877.0519150002</v>
      </c>
      <c r="H219" s="58">
        <v>848868.87337026396</v>
      </c>
      <c r="I219" s="58">
        <v>2419029.7574249301</v>
      </c>
      <c r="J219" s="59">
        <v>4512652.6373076001</v>
      </c>
      <c r="K219" s="58">
        <v>7610404.2383821104</v>
      </c>
      <c r="L219" s="58">
        <v>8903670.7460496593</v>
      </c>
      <c r="M219" s="58">
        <v>13869046.003528699</v>
      </c>
      <c r="N219" s="58">
        <v>20095810.5062548</v>
      </c>
      <c r="O219" s="58">
        <v>30356236.180233698</v>
      </c>
      <c r="P219" s="58">
        <v>32359159.8437871</v>
      </c>
      <c r="Q219" s="58">
        <v>40099945.635733597</v>
      </c>
      <c r="R219" s="58">
        <v>44926620.6391223</v>
      </c>
      <c r="S219" s="58">
        <v>378683.10404482798</v>
      </c>
      <c r="T219" s="58">
        <v>1403254.3353516101</v>
      </c>
      <c r="U219" s="58">
        <v>3123914.15901137</v>
      </c>
      <c r="V219" s="58">
        <v>5781937.79973152</v>
      </c>
      <c r="W219" s="59">
        <v>7113785.9670006502</v>
      </c>
      <c r="X219" s="58">
        <v>11934661.278553899</v>
      </c>
      <c r="Y219" s="58">
        <v>17944772.882801499</v>
      </c>
      <c r="Z219" s="59">
        <v>27124402.9585783</v>
      </c>
      <c r="AA219" s="58">
        <v>29589983.168329101</v>
      </c>
      <c r="AB219" s="58">
        <v>35038872.311268799</v>
      </c>
      <c r="AC219" s="58">
        <v>42252696.449507996</v>
      </c>
    </row>
    <row r="220" spans="2:29" ht="15" x14ac:dyDescent="0.25">
      <c r="B220" s="54" t="s">
        <v>361</v>
      </c>
      <c r="C220" s="54" t="s">
        <v>193</v>
      </c>
      <c r="D220" s="54" t="s">
        <v>345</v>
      </c>
      <c r="E220" s="54" t="s">
        <v>99</v>
      </c>
      <c r="F220" s="56">
        <v>6417072.9850308597</v>
      </c>
      <c r="G220" s="56">
        <v>17959874.540630199</v>
      </c>
      <c r="H220" s="57">
        <v>1665313.43926085</v>
      </c>
      <c r="I220" s="56">
        <v>6218408.7794223595</v>
      </c>
      <c r="J220" s="56">
        <v>13948609.659408201</v>
      </c>
      <c r="K220" s="56">
        <v>27316372.058047298</v>
      </c>
      <c r="L220" s="56">
        <v>31767099.1956429</v>
      </c>
      <c r="M220" s="56">
        <v>53740727.476418801</v>
      </c>
      <c r="N220" s="57">
        <v>91193495.697058305</v>
      </c>
      <c r="O220" s="56">
        <v>128106904.87086301</v>
      </c>
      <c r="P220" s="56">
        <v>135537461.56108099</v>
      </c>
      <c r="Q220" s="56">
        <v>182574048.88803899</v>
      </c>
      <c r="R220" s="56">
        <v>218055693.18372101</v>
      </c>
      <c r="S220" s="56">
        <v>796977.32642593305</v>
      </c>
      <c r="T220" s="56">
        <v>4075991.0126661402</v>
      </c>
      <c r="U220" s="56">
        <v>11014329.956522901</v>
      </c>
      <c r="V220" s="57">
        <v>23159338.997315701</v>
      </c>
      <c r="W220" s="56">
        <v>27562681.9821092</v>
      </c>
      <c r="X220" s="56">
        <v>48075372.536135599</v>
      </c>
      <c r="Y220" s="57">
        <v>83661844.367806599</v>
      </c>
      <c r="Z220" s="57">
        <v>119982559.65764999</v>
      </c>
      <c r="AA220" s="56">
        <v>131966781.27038699</v>
      </c>
      <c r="AB220" s="56">
        <v>166691701.16986999</v>
      </c>
      <c r="AC220" s="57">
        <v>194752172.75989601</v>
      </c>
    </row>
    <row r="221" spans="2:29" ht="15" x14ac:dyDescent="0.25">
      <c r="B221" s="55" t="s">
        <v>362</v>
      </c>
      <c r="C221" s="55" t="s">
        <v>193</v>
      </c>
      <c r="D221" s="55" t="s">
        <v>231</v>
      </c>
      <c r="E221" s="55" t="s">
        <v>99</v>
      </c>
      <c r="F221" s="58">
        <v>4907.2045504779398</v>
      </c>
      <c r="G221" s="58">
        <v>30301.749877799</v>
      </c>
      <c r="H221" s="58">
        <v>28.238335423535901</v>
      </c>
      <c r="I221" s="58">
        <v>1726.37612532973</v>
      </c>
      <c r="J221" s="59">
        <v>5611.3416769183996</v>
      </c>
      <c r="K221" s="58">
        <v>15886.6057494466</v>
      </c>
      <c r="L221" s="58">
        <v>22010.0288253158</v>
      </c>
      <c r="M221" s="58">
        <v>50117.950948505102</v>
      </c>
      <c r="N221" s="58">
        <v>108274.700501057</v>
      </c>
      <c r="O221" s="58">
        <v>178291.78510287701</v>
      </c>
      <c r="P221" s="58">
        <v>220243.19549307699</v>
      </c>
      <c r="Q221" s="58">
        <v>298013.01611404598</v>
      </c>
      <c r="R221" s="58">
        <v>403340.20996400499</v>
      </c>
      <c r="S221" s="58">
        <v>25.593627185686501</v>
      </c>
      <c r="T221" s="58">
        <v>1438.0316943814601</v>
      </c>
      <c r="U221" s="58">
        <v>4997.0133841605602</v>
      </c>
      <c r="V221" s="58">
        <v>14351.7157220019</v>
      </c>
      <c r="W221" s="59">
        <v>20679.262264763202</v>
      </c>
      <c r="X221" s="58">
        <v>48773.480168422699</v>
      </c>
      <c r="Y221" s="58">
        <v>104205.27103334499</v>
      </c>
      <c r="Z221" s="59">
        <v>170110.78294700201</v>
      </c>
      <c r="AA221" s="58">
        <v>219056.02440791801</v>
      </c>
      <c r="AB221" s="58">
        <v>292188.31899036601</v>
      </c>
      <c r="AC221" s="58">
        <v>399274.50182231597</v>
      </c>
    </row>
    <row r="222" spans="2:29" ht="15" x14ac:dyDescent="0.25">
      <c r="B222" s="54" t="s">
        <v>363</v>
      </c>
      <c r="C222" s="54" t="s">
        <v>193</v>
      </c>
      <c r="D222" s="54" t="s">
        <v>233</v>
      </c>
      <c r="E222" s="54" t="s">
        <v>99</v>
      </c>
      <c r="F222" s="56">
        <v>9.4428511676632692</v>
      </c>
      <c r="G222" s="56">
        <v>89.500969091542203</v>
      </c>
      <c r="H222" s="57">
        <v>0</v>
      </c>
      <c r="I222" s="56">
        <v>0</v>
      </c>
      <c r="J222" s="56">
        <v>0.85250172911701405</v>
      </c>
      <c r="K222" s="56">
        <v>12.2139958860206</v>
      </c>
      <c r="L222" s="56">
        <v>19.909072586277698</v>
      </c>
      <c r="M222" s="56">
        <v>81.351539456191404</v>
      </c>
      <c r="N222" s="57">
        <v>239.697229156319</v>
      </c>
      <c r="O222" s="56">
        <v>477.542854593328</v>
      </c>
      <c r="P222" s="56">
        <v>618.71130052453702</v>
      </c>
      <c r="Q222" s="56">
        <v>937.33379624347401</v>
      </c>
      <c r="R222" s="56">
        <v>1190.5615949936901</v>
      </c>
      <c r="S222" s="56">
        <v>0</v>
      </c>
      <c r="T222" s="56">
        <v>0</v>
      </c>
      <c r="U222" s="56">
        <v>0.83860253792224104</v>
      </c>
      <c r="V222" s="57">
        <v>11.9221641083041</v>
      </c>
      <c r="W222" s="56">
        <v>19.759792376867999</v>
      </c>
      <c r="X222" s="56">
        <v>80.086322757295406</v>
      </c>
      <c r="Y222" s="57">
        <v>239.22683497834299</v>
      </c>
      <c r="Z222" s="57">
        <v>472.01192648753198</v>
      </c>
      <c r="AA222" s="56">
        <v>609.431058305134</v>
      </c>
      <c r="AB222" s="56">
        <v>937.33379624347401</v>
      </c>
      <c r="AC222" s="57">
        <v>1177.17718901956</v>
      </c>
    </row>
    <row r="223" spans="2:29" ht="15" x14ac:dyDescent="0.25">
      <c r="B223" s="55" t="s">
        <v>364</v>
      </c>
      <c r="C223" s="55" t="s">
        <v>193</v>
      </c>
      <c r="D223" s="55" t="s">
        <v>237</v>
      </c>
      <c r="E223" s="55" t="s">
        <v>99</v>
      </c>
      <c r="F223" s="58">
        <v>5622.7812146280603</v>
      </c>
      <c r="G223" s="58">
        <v>20442.785247597702</v>
      </c>
      <c r="H223" s="58">
        <v>645.95677927464499</v>
      </c>
      <c r="I223" s="58">
        <v>3690.4457914944601</v>
      </c>
      <c r="J223" s="59">
        <v>10105.748179936299</v>
      </c>
      <c r="K223" s="58">
        <v>23877.290410012502</v>
      </c>
      <c r="L223" s="58">
        <v>32619.015668239099</v>
      </c>
      <c r="M223" s="58">
        <v>60497.473760661</v>
      </c>
      <c r="N223" s="58">
        <v>104338.506100919</v>
      </c>
      <c r="O223" s="58">
        <v>165452.64430307099</v>
      </c>
      <c r="P223" s="58">
        <v>189748.52427954899</v>
      </c>
      <c r="Q223" s="58">
        <v>217547.80694120299</v>
      </c>
      <c r="R223" s="58">
        <v>242590.268723293</v>
      </c>
      <c r="S223" s="58">
        <v>451.08370583547099</v>
      </c>
      <c r="T223" s="58">
        <v>2786.42861303364</v>
      </c>
      <c r="U223" s="58">
        <v>8467.2440201939698</v>
      </c>
      <c r="V223" s="58">
        <v>20981.789427624401</v>
      </c>
      <c r="W223" s="59">
        <v>28882.150411785598</v>
      </c>
      <c r="X223" s="58">
        <v>57421.669114017299</v>
      </c>
      <c r="Y223" s="58">
        <v>100262.94941348099</v>
      </c>
      <c r="Z223" s="59">
        <v>159558.73731422299</v>
      </c>
      <c r="AA223" s="58">
        <v>176192.37863940099</v>
      </c>
      <c r="AB223" s="58">
        <v>215721.594838761</v>
      </c>
      <c r="AC223" s="58">
        <v>227686.40756010599</v>
      </c>
    </row>
    <row r="224" spans="2:29" ht="15" x14ac:dyDescent="0.25">
      <c r="B224" s="54" t="s">
        <v>365</v>
      </c>
      <c r="C224" s="54" t="s">
        <v>193</v>
      </c>
      <c r="D224" s="54" t="s">
        <v>239</v>
      </c>
      <c r="E224" s="54" t="s">
        <v>99</v>
      </c>
      <c r="F224" s="56">
        <v>32.892540533529797</v>
      </c>
      <c r="G224" s="56">
        <v>152.08541725589299</v>
      </c>
      <c r="H224" s="57">
        <v>0</v>
      </c>
      <c r="I224" s="56">
        <v>17.921571363156598</v>
      </c>
      <c r="J224" s="56">
        <v>49.992620928769099</v>
      </c>
      <c r="K224" s="56">
        <v>129.62244448134601</v>
      </c>
      <c r="L224" s="56">
        <v>172.94985132308099</v>
      </c>
      <c r="M224" s="56">
        <v>356.28894528323502</v>
      </c>
      <c r="N224" s="57">
        <v>670.43347595356602</v>
      </c>
      <c r="O224" s="56">
        <v>1163.0622592586201</v>
      </c>
      <c r="P224" s="56">
        <v>1367.1855364416299</v>
      </c>
      <c r="Q224" s="56">
        <v>1622.89992077737</v>
      </c>
      <c r="R224" s="56">
        <v>1956.75356692797</v>
      </c>
      <c r="S224" s="56">
        <v>0</v>
      </c>
      <c r="T224" s="56">
        <v>14.9591025489408</v>
      </c>
      <c r="U224" s="56">
        <v>44.689773556651801</v>
      </c>
      <c r="V224" s="57">
        <v>122.88348440916501</v>
      </c>
      <c r="W224" s="56">
        <v>163.2070287148</v>
      </c>
      <c r="X224" s="56">
        <v>340.31946822139003</v>
      </c>
      <c r="Y224" s="57">
        <v>631.459424277626</v>
      </c>
      <c r="Z224" s="57">
        <v>1118.4579722856899</v>
      </c>
      <c r="AA224" s="56">
        <v>1296.5888226536899</v>
      </c>
      <c r="AB224" s="56">
        <v>1596.70325007725</v>
      </c>
      <c r="AC224" s="57">
        <v>1956.75356692797</v>
      </c>
    </row>
    <row r="225" spans="2:29" ht="15" x14ac:dyDescent="0.25">
      <c r="B225" s="55" t="s">
        <v>366</v>
      </c>
      <c r="C225" s="55" t="s">
        <v>193</v>
      </c>
      <c r="D225" s="55" t="s">
        <v>241</v>
      </c>
      <c r="E225" s="55" t="s">
        <v>99</v>
      </c>
      <c r="F225" s="58">
        <v>2740.31634919015</v>
      </c>
      <c r="G225" s="58">
        <v>12517.392363388901</v>
      </c>
      <c r="H225" s="58">
        <v>206.56621524028199</v>
      </c>
      <c r="I225" s="58">
        <v>1501.67855816773</v>
      </c>
      <c r="J225" s="59">
        <v>4275.3466011764003</v>
      </c>
      <c r="K225" s="58">
        <v>10788.2720557101</v>
      </c>
      <c r="L225" s="58">
        <v>14650.804978346699</v>
      </c>
      <c r="M225" s="58">
        <v>30073.124212104201</v>
      </c>
      <c r="N225" s="58">
        <v>53021.1033874083</v>
      </c>
      <c r="O225" s="58">
        <v>79474.812890747402</v>
      </c>
      <c r="P225" s="58">
        <v>98522.104877023899</v>
      </c>
      <c r="Q225" s="58">
        <v>125791.603654923</v>
      </c>
      <c r="R225" s="58">
        <v>161994.75828540401</v>
      </c>
      <c r="S225" s="58">
        <v>156.14545600051801</v>
      </c>
      <c r="T225" s="58">
        <v>1159.2731162633299</v>
      </c>
      <c r="U225" s="58">
        <v>3667.9963004526799</v>
      </c>
      <c r="V225" s="58">
        <v>10075.704619350499</v>
      </c>
      <c r="W225" s="59">
        <v>13697.417598169701</v>
      </c>
      <c r="X225" s="58">
        <v>28039.407276026799</v>
      </c>
      <c r="Y225" s="58">
        <v>50651.075607336199</v>
      </c>
      <c r="Z225" s="59">
        <v>77148.264503558705</v>
      </c>
      <c r="AA225" s="58">
        <v>94456.029011054998</v>
      </c>
      <c r="AB225" s="58">
        <v>122980.46390888801</v>
      </c>
      <c r="AC225" s="58">
        <v>152379.33743937901</v>
      </c>
    </row>
    <row r="226" spans="2:29" ht="15" x14ac:dyDescent="0.25">
      <c r="B226" s="54" t="s">
        <v>367</v>
      </c>
      <c r="C226" s="54" t="s">
        <v>193</v>
      </c>
      <c r="D226" s="54" t="s">
        <v>243</v>
      </c>
      <c r="E226" s="54" t="s">
        <v>99</v>
      </c>
      <c r="F226" s="56">
        <v>9009.9701305416493</v>
      </c>
      <c r="G226" s="56">
        <v>31777.941117090599</v>
      </c>
      <c r="H226" s="57">
        <v>1500.0919086295801</v>
      </c>
      <c r="I226" s="56">
        <v>7795.5567005481798</v>
      </c>
      <c r="J226" s="56">
        <v>17798.4465533277</v>
      </c>
      <c r="K226" s="56">
        <v>37266.558817292098</v>
      </c>
      <c r="L226" s="56">
        <v>45817.619477956599</v>
      </c>
      <c r="M226" s="56">
        <v>84764.686694399206</v>
      </c>
      <c r="N226" s="57">
        <v>136275.483985094</v>
      </c>
      <c r="O226" s="56">
        <v>216280.85033168399</v>
      </c>
      <c r="P226" s="56">
        <v>242705.67218531601</v>
      </c>
      <c r="Q226" s="56">
        <v>320138.42406486702</v>
      </c>
      <c r="R226" s="56">
        <v>431225.85678936302</v>
      </c>
      <c r="S226" s="56">
        <v>935.88997921819703</v>
      </c>
      <c r="T226" s="56">
        <v>5641.2281447267096</v>
      </c>
      <c r="U226" s="56">
        <v>14396.492721623699</v>
      </c>
      <c r="V226" s="57">
        <v>31826.8341656011</v>
      </c>
      <c r="W226" s="56">
        <v>41679.532519621098</v>
      </c>
      <c r="X226" s="56">
        <v>80448.494283095395</v>
      </c>
      <c r="Y226" s="57">
        <v>129194.52702294099</v>
      </c>
      <c r="Z226" s="57">
        <v>206228.78478212201</v>
      </c>
      <c r="AA226" s="56">
        <v>232296.975155906</v>
      </c>
      <c r="AB226" s="56">
        <v>294289.80475514499</v>
      </c>
      <c r="AC226" s="57">
        <v>395616.13686339301</v>
      </c>
    </row>
    <row r="227" spans="2:29" ht="15" x14ac:dyDescent="0.25">
      <c r="B227" s="55" t="s">
        <v>368</v>
      </c>
      <c r="C227" s="55" t="s">
        <v>193</v>
      </c>
      <c r="D227" s="55" t="s">
        <v>245</v>
      </c>
      <c r="E227" s="55" t="s">
        <v>99</v>
      </c>
      <c r="F227" s="58">
        <v>1693.2388699297501</v>
      </c>
      <c r="G227" s="58">
        <v>7838.9303555975002</v>
      </c>
      <c r="H227" s="58">
        <v>127.392556294774</v>
      </c>
      <c r="I227" s="58">
        <v>1003.34530687526</v>
      </c>
      <c r="J227" s="59">
        <v>2704.3283055851798</v>
      </c>
      <c r="K227" s="58">
        <v>6308.8620426799798</v>
      </c>
      <c r="L227" s="58">
        <v>8580.7950585907602</v>
      </c>
      <c r="M227" s="58">
        <v>16997.8758083176</v>
      </c>
      <c r="N227" s="58">
        <v>32243.775725592601</v>
      </c>
      <c r="O227" s="58">
        <v>52785.876659881898</v>
      </c>
      <c r="P227" s="58">
        <v>59778.491298562498</v>
      </c>
      <c r="Q227" s="58">
        <v>84102.0666562064</v>
      </c>
      <c r="R227" s="58">
        <v>107146.663963638</v>
      </c>
      <c r="S227" s="58">
        <v>100.048421560997</v>
      </c>
      <c r="T227" s="58">
        <v>781.402538010547</v>
      </c>
      <c r="U227" s="58">
        <v>2265.42453875509</v>
      </c>
      <c r="V227" s="58">
        <v>5615.4923178996196</v>
      </c>
      <c r="W227" s="59">
        <v>7705.3017052654504</v>
      </c>
      <c r="X227" s="58">
        <v>16450.367985813202</v>
      </c>
      <c r="Y227" s="58">
        <v>31122.176427514401</v>
      </c>
      <c r="Z227" s="59">
        <v>51518.729019515398</v>
      </c>
      <c r="AA227" s="58">
        <v>57420.813175733303</v>
      </c>
      <c r="AB227" s="58">
        <v>78966.782438834096</v>
      </c>
      <c r="AC227" s="58">
        <v>97717.004571493002</v>
      </c>
    </row>
    <row r="228" spans="2:29" ht="15" x14ac:dyDescent="0.25">
      <c r="B228" s="54" t="s">
        <v>369</v>
      </c>
      <c r="C228" s="54" t="s">
        <v>193</v>
      </c>
      <c r="D228" s="54" t="s">
        <v>247</v>
      </c>
      <c r="E228" s="54" t="s">
        <v>99</v>
      </c>
      <c r="F228" s="56">
        <v>1520.33025832059</v>
      </c>
      <c r="G228" s="56">
        <v>8963.4276594410694</v>
      </c>
      <c r="H228" s="57">
        <v>0</v>
      </c>
      <c r="I228" s="56">
        <v>505.20349400481302</v>
      </c>
      <c r="J228" s="56">
        <v>1657.0686430829601</v>
      </c>
      <c r="K228" s="56">
        <v>4959.1642316121597</v>
      </c>
      <c r="L228" s="56">
        <v>6841.91423551966</v>
      </c>
      <c r="M228" s="56">
        <v>16057.2664695409</v>
      </c>
      <c r="N228" s="57">
        <v>34532.983643777698</v>
      </c>
      <c r="O228" s="56">
        <v>58937.029795211303</v>
      </c>
      <c r="P228" s="56">
        <v>71382.5469809489</v>
      </c>
      <c r="Q228" s="56">
        <v>93819.8792540578</v>
      </c>
      <c r="R228" s="56">
        <v>124506.78499039001</v>
      </c>
      <c r="S228" s="56">
        <v>0</v>
      </c>
      <c r="T228" s="56">
        <v>426.478261530309</v>
      </c>
      <c r="U228" s="56">
        <v>1498.17920446566</v>
      </c>
      <c r="V228" s="57">
        <v>4454.7610416552898</v>
      </c>
      <c r="W228" s="56">
        <v>6436.3616984414502</v>
      </c>
      <c r="X228" s="56">
        <v>15507.9203420917</v>
      </c>
      <c r="Y228" s="57">
        <v>31790.190465911201</v>
      </c>
      <c r="Z228" s="57">
        <v>57703.655438864902</v>
      </c>
      <c r="AA228" s="56">
        <v>70243.603141964399</v>
      </c>
      <c r="AB228" s="56">
        <v>93819.8792540578</v>
      </c>
      <c r="AC228" s="57">
        <v>117202.660466446</v>
      </c>
    </row>
    <row r="229" spans="2:29" ht="15" x14ac:dyDescent="0.25">
      <c r="B229" s="55" t="s">
        <v>370</v>
      </c>
      <c r="C229" s="55" t="s">
        <v>193</v>
      </c>
      <c r="D229" s="55" t="s">
        <v>249</v>
      </c>
      <c r="E229" s="55" t="s">
        <v>99</v>
      </c>
      <c r="F229" s="58">
        <v>2769.4938811134498</v>
      </c>
      <c r="G229" s="58">
        <v>12023.2768658121</v>
      </c>
      <c r="H229" s="58">
        <v>257.99138139757298</v>
      </c>
      <c r="I229" s="58">
        <v>1825.44334433416</v>
      </c>
      <c r="J229" s="59">
        <v>4858.72610411191</v>
      </c>
      <c r="K229" s="58">
        <v>10708.392304159999</v>
      </c>
      <c r="L229" s="58">
        <v>13575.9722845911</v>
      </c>
      <c r="M229" s="58">
        <v>25581.3945339602</v>
      </c>
      <c r="N229" s="58">
        <v>51153.368607133903</v>
      </c>
      <c r="O229" s="58">
        <v>87950.154751850598</v>
      </c>
      <c r="P229" s="58">
        <v>95826.933917450893</v>
      </c>
      <c r="Q229" s="58">
        <v>120403.021310485</v>
      </c>
      <c r="R229" s="58">
        <v>163304.487786035</v>
      </c>
      <c r="S229" s="58">
        <v>190.52182990746601</v>
      </c>
      <c r="T229" s="58">
        <v>1437.6442569052499</v>
      </c>
      <c r="U229" s="58">
        <v>4026.85666120122</v>
      </c>
      <c r="V229" s="58">
        <v>9534.8984833928698</v>
      </c>
      <c r="W229" s="59">
        <v>12499.7778726119</v>
      </c>
      <c r="X229" s="58">
        <v>24492.5036192179</v>
      </c>
      <c r="Y229" s="58">
        <v>48826.222101473599</v>
      </c>
      <c r="Z229" s="59">
        <v>83607.918185650997</v>
      </c>
      <c r="AA229" s="58">
        <v>91268.568406754101</v>
      </c>
      <c r="AB229" s="58">
        <v>119396.834980785</v>
      </c>
      <c r="AC229" s="58">
        <v>157294.614920055</v>
      </c>
    </row>
    <row r="230" spans="2:29" ht="15" x14ac:dyDescent="0.25">
      <c r="B230" s="54" t="s">
        <v>371</v>
      </c>
      <c r="C230" s="54" t="s">
        <v>193</v>
      </c>
      <c r="D230" s="54" t="s">
        <v>251</v>
      </c>
      <c r="E230" s="54" t="s">
        <v>99</v>
      </c>
      <c r="F230" s="56">
        <v>17572.058086376499</v>
      </c>
      <c r="G230" s="56">
        <v>61986.3902499736</v>
      </c>
      <c r="H230" s="57">
        <v>3027.2123741536402</v>
      </c>
      <c r="I230" s="56">
        <v>14523.9448892119</v>
      </c>
      <c r="J230" s="56">
        <v>33013.201042527697</v>
      </c>
      <c r="K230" s="56">
        <v>69891.575619347699</v>
      </c>
      <c r="L230" s="56">
        <v>87207.129476511502</v>
      </c>
      <c r="M230" s="56">
        <v>174818.480803293</v>
      </c>
      <c r="N230" s="57">
        <v>289437.40446614899</v>
      </c>
      <c r="O230" s="56">
        <v>449930.39512352197</v>
      </c>
      <c r="P230" s="56">
        <v>500424.147574968</v>
      </c>
      <c r="Q230" s="56">
        <v>613495.32533992699</v>
      </c>
      <c r="R230" s="56">
        <v>798341.67869029695</v>
      </c>
      <c r="S230" s="56">
        <v>1981.23179917326</v>
      </c>
      <c r="T230" s="56">
        <v>10540.418531232701</v>
      </c>
      <c r="U230" s="56">
        <v>25801.052722822798</v>
      </c>
      <c r="V230" s="57">
        <v>61140.675418348299</v>
      </c>
      <c r="W230" s="56">
        <v>77987.003006487095</v>
      </c>
      <c r="X230" s="56">
        <v>164354.493355585</v>
      </c>
      <c r="Y230" s="57">
        <v>272247.46969356498</v>
      </c>
      <c r="Z230" s="57">
        <v>431507.78777330503</v>
      </c>
      <c r="AA230" s="56">
        <v>478361.63860764698</v>
      </c>
      <c r="AB230" s="56">
        <v>597574.74272095505</v>
      </c>
      <c r="AC230" s="57">
        <v>752749.27125204401</v>
      </c>
    </row>
    <row r="231" spans="2:29" ht="15" x14ac:dyDescent="0.25">
      <c r="B231" s="55" t="s">
        <v>372</v>
      </c>
      <c r="C231" s="55" t="s">
        <v>193</v>
      </c>
      <c r="D231" s="55" t="s">
        <v>253</v>
      </c>
      <c r="E231" s="55" t="s">
        <v>99</v>
      </c>
      <c r="F231" s="58">
        <v>401.956982382962</v>
      </c>
      <c r="G231" s="58">
        <v>1789.06005132716</v>
      </c>
      <c r="H231" s="58">
        <v>33.395811138141603</v>
      </c>
      <c r="I231" s="58">
        <v>241.75503980379901</v>
      </c>
      <c r="J231" s="59">
        <v>658.80106579598396</v>
      </c>
      <c r="K231" s="58">
        <v>1671.83727887753</v>
      </c>
      <c r="L231" s="58">
        <v>2129.8509570225001</v>
      </c>
      <c r="M231" s="58">
        <v>4032.62581868083</v>
      </c>
      <c r="N231" s="58">
        <v>7328.1578186893703</v>
      </c>
      <c r="O231" s="58">
        <v>11849.817816193399</v>
      </c>
      <c r="P231" s="58">
        <v>14525.287977349601</v>
      </c>
      <c r="Q231" s="58">
        <v>17561.5928358532</v>
      </c>
      <c r="R231" s="58">
        <v>23661.060218549599</v>
      </c>
      <c r="S231" s="58">
        <v>24.499408870363499</v>
      </c>
      <c r="T231" s="58">
        <v>185.75382541051499</v>
      </c>
      <c r="U231" s="58">
        <v>571.26169224369505</v>
      </c>
      <c r="V231" s="58">
        <v>1509.52474922025</v>
      </c>
      <c r="W231" s="59">
        <v>1965.10601481403</v>
      </c>
      <c r="X231" s="58">
        <v>3844.8444820825198</v>
      </c>
      <c r="Y231" s="58">
        <v>7015.8997909012396</v>
      </c>
      <c r="Z231" s="59">
        <v>11562.9241654831</v>
      </c>
      <c r="AA231" s="58">
        <v>13830.549001715999</v>
      </c>
      <c r="AB231" s="58">
        <v>17411.275792231801</v>
      </c>
      <c r="AC231" s="58">
        <v>21768.476795487899</v>
      </c>
    </row>
    <row r="232" spans="2:29" ht="15" x14ac:dyDescent="0.25">
      <c r="B232" s="54" t="s">
        <v>373</v>
      </c>
      <c r="C232" s="54" t="s">
        <v>193</v>
      </c>
      <c r="D232" s="54" t="s">
        <v>267</v>
      </c>
      <c r="E232" s="54" t="s">
        <v>99</v>
      </c>
      <c r="F232" s="56">
        <v>45413.705011554797</v>
      </c>
      <c r="G232" s="56">
        <v>198680.07040489101</v>
      </c>
      <c r="H232" s="57">
        <v>3562.1921270202802</v>
      </c>
      <c r="I232" s="56">
        <v>26886.820951503902</v>
      </c>
      <c r="J232" s="56">
        <v>71489.458341365593</v>
      </c>
      <c r="K232" s="56">
        <v>186802.26140835299</v>
      </c>
      <c r="L232" s="56">
        <v>240965.14762031101</v>
      </c>
      <c r="M232" s="56">
        <v>467154.48489011597</v>
      </c>
      <c r="N232" s="57">
        <v>858263.84543366905</v>
      </c>
      <c r="O232" s="56">
        <v>1389374.32201198</v>
      </c>
      <c r="P232" s="56">
        <v>1621779.6336910799</v>
      </c>
      <c r="Q232" s="56">
        <v>2198158.0197710898</v>
      </c>
      <c r="R232" s="56">
        <v>2520334.42774755</v>
      </c>
      <c r="S232" s="56">
        <v>2615.9095931224801</v>
      </c>
      <c r="T232" s="56">
        <v>20547.589403478301</v>
      </c>
      <c r="U232" s="56">
        <v>61755.378110591599</v>
      </c>
      <c r="V232" s="57">
        <v>168926.33767868299</v>
      </c>
      <c r="W232" s="56">
        <v>220245.09390358999</v>
      </c>
      <c r="X232" s="56">
        <v>442332.23867027002</v>
      </c>
      <c r="Y232" s="57">
        <v>824902.33997101604</v>
      </c>
      <c r="Z232" s="57">
        <v>1315952.6830227401</v>
      </c>
      <c r="AA232" s="56">
        <v>1509225.93412111</v>
      </c>
      <c r="AB232" s="56">
        <v>2111197.0313857999</v>
      </c>
      <c r="AC232" s="57">
        <v>2447680.5772611899</v>
      </c>
    </row>
    <row r="233" spans="2:29" ht="15" x14ac:dyDescent="0.25">
      <c r="B233" s="55" t="s">
        <v>374</v>
      </c>
      <c r="C233" s="55" t="s">
        <v>193</v>
      </c>
      <c r="D233" s="55" t="s">
        <v>269</v>
      </c>
      <c r="E233" s="55" t="s">
        <v>99</v>
      </c>
      <c r="F233" s="58">
        <v>1531.2456162676399</v>
      </c>
      <c r="G233" s="58">
        <v>8486.6383033829206</v>
      </c>
      <c r="H233" s="58">
        <v>0</v>
      </c>
      <c r="I233" s="58">
        <v>315.24014574289998</v>
      </c>
      <c r="J233" s="59">
        <v>1390.24167861501</v>
      </c>
      <c r="K233" s="58">
        <v>5005.2835041527696</v>
      </c>
      <c r="L233" s="58">
        <v>7298.521540279</v>
      </c>
      <c r="M233" s="58">
        <v>19422.002330646301</v>
      </c>
      <c r="N233" s="58">
        <v>40625.4288933231</v>
      </c>
      <c r="O233" s="58">
        <v>61527.048649808501</v>
      </c>
      <c r="P233" s="58">
        <v>69432.822724968399</v>
      </c>
      <c r="Q233" s="58">
        <v>99129.021786714904</v>
      </c>
      <c r="R233" s="58">
        <v>121417.731549993</v>
      </c>
      <c r="S233" s="58">
        <v>0</v>
      </c>
      <c r="T233" s="58">
        <v>285.97093096793799</v>
      </c>
      <c r="U233" s="58">
        <v>1267.06602826941</v>
      </c>
      <c r="V233" s="58">
        <v>4666.9712248338201</v>
      </c>
      <c r="W233" s="59">
        <v>6939.0702840537697</v>
      </c>
      <c r="X233" s="58">
        <v>18583.059633930301</v>
      </c>
      <c r="Y233" s="58">
        <v>39487.952013514499</v>
      </c>
      <c r="Z233" s="59">
        <v>60632.0317799564</v>
      </c>
      <c r="AA233" s="58">
        <v>67314.939123538396</v>
      </c>
      <c r="AB233" s="58">
        <v>96958.351196263204</v>
      </c>
      <c r="AC233" s="58">
        <v>112938.498270186</v>
      </c>
    </row>
    <row r="234" spans="2:29" ht="15" x14ac:dyDescent="0.25">
      <c r="B234" s="54" t="s">
        <v>375</v>
      </c>
      <c r="C234" s="54" t="s">
        <v>193</v>
      </c>
      <c r="D234" s="54" t="s">
        <v>273</v>
      </c>
      <c r="E234" s="54" t="s">
        <v>99</v>
      </c>
      <c r="F234" s="56">
        <v>52.833132866835001</v>
      </c>
      <c r="G234" s="56">
        <v>334.94286581182399</v>
      </c>
      <c r="H234" s="57">
        <v>0</v>
      </c>
      <c r="I234" s="56">
        <v>5.3842469824992003</v>
      </c>
      <c r="J234" s="56">
        <v>35.597519035927597</v>
      </c>
      <c r="K234" s="56">
        <v>147.36180514083301</v>
      </c>
      <c r="L234" s="56">
        <v>220.47371541652299</v>
      </c>
      <c r="M234" s="56">
        <v>635.01602174357504</v>
      </c>
      <c r="N234" s="57">
        <v>1366.05362885723</v>
      </c>
      <c r="O234" s="56">
        <v>2498.0815038088999</v>
      </c>
      <c r="P234" s="56">
        <v>2694.0914804527501</v>
      </c>
      <c r="Q234" s="56">
        <v>4354.0108521912698</v>
      </c>
      <c r="R234" s="56">
        <v>5013.1816384553304</v>
      </c>
      <c r="S234" s="56">
        <v>0</v>
      </c>
      <c r="T234" s="56">
        <v>4.4508714444511703</v>
      </c>
      <c r="U234" s="56">
        <v>33.419917506019303</v>
      </c>
      <c r="V234" s="57">
        <v>140.30637885913001</v>
      </c>
      <c r="W234" s="56">
        <v>214.796601948872</v>
      </c>
      <c r="X234" s="56">
        <v>590.99270730650596</v>
      </c>
      <c r="Y234" s="57">
        <v>1304.97272928039</v>
      </c>
      <c r="Z234" s="57">
        <v>2218.3370889132502</v>
      </c>
      <c r="AA234" s="56">
        <v>2616.00739377732</v>
      </c>
      <c r="AB234" s="56">
        <v>4335.3499105157298</v>
      </c>
      <c r="AC234" s="57">
        <v>5011.31823783659</v>
      </c>
    </row>
    <row r="235" spans="2:29" ht="15" x14ac:dyDescent="0.25">
      <c r="B235" s="55" t="s">
        <v>376</v>
      </c>
      <c r="C235" s="55" t="s">
        <v>205</v>
      </c>
      <c r="D235" s="55" t="s">
        <v>229</v>
      </c>
      <c r="E235" s="55" t="s">
        <v>99</v>
      </c>
      <c r="F235" s="58">
        <v>2988888.8900188999</v>
      </c>
      <c r="G235" s="58">
        <v>4706202.6692350497</v>
      </c>
      <c r="H235" s="58">
        <v>1700231.08508605</v>
      </c>
      <c r="I235" s="58">
        <v>4301213.0260392297</v>
      </c>
      <c r="J235" s="59">
        <v>6675360.16844087</v>
      </c>
      <c r="K235" s="58">
        <v>9601740.7575765308</v>
      </c>
      <c r="L235" s="58">
        <v>10951350.496278301</v>
      </c>
      <c r="M235" s="58">
        <v>15531429.0072542</v>
      </c>
      <c r="N235" s="58">
        <v>21745287.020805001</v>
      </c>
      <c r="O235" s="58">
        <v>31442333.571079299</v>
      </c>
      <c r="P235" s="58">
        <v>34132581.338885501</v>
      </c>
      <c r="Q235" s="58">
        <v>41542497.731256098</v>
      </c>
      <c r="R235" s="58">
        <v>46886629.238118701</v>
      </c>
      <c r="S235" s="58">
        <v>867493.31958622101</v>
      </c>
      <c r="T235" s="58">
        <v>2303058.1794231702</v>
      </c>
      <c r="U235" s="58">
        <v>3847461.8083031299</v>
      </c>
      <c r="V235" s="58">
        <v>6507170.0725972299</v>
      </c>
      <c r="W235" s="59">
        <v>7606946.0430401601</v>
      </c>
      <c r="X235" s="58">
        <v>12002138.538873499</v>
      </c>
      <c r="Y235" s="58">
        <v>17944772.351241902</v>
      </c>
      <c r="Z235" s="59">
        <v>27124402.077082299</v>
      </c>
      <c r="AA235" s="58">
        <v>29589983.060514301</v>
      </c>
      <c r="AB235" s="58">
        <v>35038872.311269</v>
      </c>
      <c r="AC235" s="58">
        <v>42785133.170506299</v>
      </c>
    </row>
    <row r="236" spans="2:29" ht="15" x14ac:dyDescent="0.25">
      <c r="B236" s="54" t="s">
        <v>377</v>
      </c>
      <c r="C236" s="54" t="s">
        <v>205</v>
      </c>
      <c r="D236" s="54" t="s">
        <v>345</v>
      </c>
      <c r="E236" s="54" t="s">
        <v>99</v>
      </c>
      <c r="F236" s="56">
        <v>9776028.0851799399</v>
      </c>
      <c r="G236" s="56">
        <v>19176776.9491494</v>
      </c>
      <c r="H236" s="57">
        <v>4180735.2361662001</v>
      </c>
      <c r="I236" s="56">
        <v>13406992.807539999</v>
      </c>
      <c r="J236" s="56">
        <v>22367447.437484998</v>
      </c>
      <c r="K236" s="56">
        <v>35320888.916895904</v>
      </c>
      <c r="L236" s="56">
        <v>39608160.453204803</v>
      </c>
      <c r="M236" s="56">
        <v>61087855.245764002</v>
      </c>
      <c r="N236" s="57">
        <v>97110843.551024795</v>
      </c>
      <c r="O236" s="56">
        <v>131060576.944102</v>
      </c>
      <c r="P236" s="56">
        <v>141032769.31436801</v>
      </c>
      <c r="Q236" s="56">
        <v>188817925.96686399</v>
      </c>
      <c r="R236" s="56">
        <v>223479171.531764</v>
      </c>
      <c r="S236" s="56">
        <v>2414599.8506833101</v>
      </c>
      <c r="T236" s="56">
        <v>8374637.9291311102</v>
      </c>
      <c r="U236" s="56">
        <v>15019277.046549</v>
      </c>
      <c r="V236" s="57">
        <v>25953765.517196201</v>
      </c>
      <c r="W236" s="56">
        <v>30283095.4728579</v>
      </c>
      <c r="X236" s="56">
        <v>50670987.045547999</v>
      </c>
      <c r="Y236" s="57">
        <v>83661844.367807001</v>
      </c>
      <c r="Z236" s="57">
        <v>119982559.65764999</v>
      </c>
      <c r="AA236" s="56">
        <v>131966781.27038699</v>
      </c>
      <c r="AB236" s="56">
        <v>166691701.16986901</v>
      </c>
      <c r="AC236" s="57">
        <v>194752172.75989601</v>
      </c>
    </row>
    <row r="237" spans="2:29" ht="15" x14ac:dyDescent="0.25">
      <c r="B237" s="55" t="s">
        <v>378</v>
      </c>
      <c r="C237" s="55" t="s">
        <v>205</v>
      </c>
      <c r="D237" s="55" t="s">
        <v>231</v>
      </c>
      <c r="E237" s="55" t="s">
        <v>99</v>
      </c>
      <c r="F237" s="58">
        <v>6442.3567552948698</v>
      </c>
      <c r="G237" s="58">
        <v>30870.242192121001</v>
      </c>
      <c r="H237" s="58">
        <v>85.648726698098599</v>
      </c>
      <c r="I237" s="58">
        <v>4916.8775113831998</v>
      </c>
      <c r="J237" s="59">
        <v>11970.4019527603</v>
      </c>
      <c r="K237" s="58">
        <v>24281.889990927899</v>
      </c>
      <c r="L237" s="58">
        <v>29610.6906011561</v>
      </c>
      <c r="M237" s="58">
        <v>58469.4683456895</v>
      </c>
      <c r="N237" s="58">
        <v>111854.320548319</v>
      </c>
      <c r="O237" s="58">
        <v>179761.15643262299</v>
      </c>
      <c r="P237" s="58">
        <v>221240.051801908</v>
      </c>
      <c r="Q237" s="58">
        <v>298013.01611404598</v>
      </c>
      <c r="R237" s="58">
        <v>403340.20996400499</v>
      </c>
      <c r="S237" s="58">
        <v>79.046288244287894</v>
      </c>
      <c r="T237" s="58">
        <v>4203.8905170799899</v>
      </c>
      <c r="U237" s="58">
        <v>10466.643949388999</v>
      </c>
      <c r="V237" s="58">
        <v>21446.3286822154</v>
      </c>
      <c r="W237" s="59">
        <v>26976.251793514901</v>
      </c>
      <c r="X237" s="58">
        <v>52988.429539389101</v>
      </c>
      <c r="Y237" s="58">
        <v>108122.754845726</v>
      </c>
      <c r="Z237" s="59">
        <v>170110.78294700201</v>
      </c>
      <c r="AA237" s="58">
        <v>219056.02440791801</v>
      </c>
      <c r="AB237" s="58">
        <v>292188.318990367</v>
      </c>
      <c r="AC237" s="58">
        <v>399274.50182231597</v>
      </c>
    </row>
    <row r="238" spans="2:29" ht="15" x14ac:dyDescent="0.25">
      <c r="B238" s="54" t="s">
        <v>379</v>
      </c>
      <c r="C238" s="54" t="s">
        <v>205</v>
      </c>
      <c r="D238" s="54" t="s">
        <v>233</v>
      </c>
      <c r="E238" s="54" t="s">
        <v>99</v>
      </c>
      <c r="F238" s="56">
        <v>10.281753509926901</v>
      </c>
      <c r="G238" s="56">
        <v>89.938290438810995</v>
      </c>
      <c r="H238" s="57">
        <v>0</v>
      </c>
      <c r="I238" s="56">
        <v>0.31476266565514799</v>
      </c>
      <c r="J238" s="56">
        <v>3.3465601700227001</v>
      </c>
      <c r="K238" s="56">
        <v>20.809305641835</v>
      </c>
      <c r="L238" s="56">
        <v>30.3251550677323</v>
      </c>
      <c r="M238" s="56">
        <v>95.786726756582297</v>
      </c>
      <c r="N238" s="57">
        <v>248.71499566078799</v>
      </c>
      <c r="O238" s="56">
        <v>477.542854593328</v>
      </c>
      <c r="P238" s="56">
        <v>618.71130052453702</v>
      </c>
      <c r="Q238" s="56">
        <v>937.33379624347401</v>
      </c>
      <c r="R238" s="56">
        <v>1220.8427715497801</v>
      </c>
      <c r="S238" s="56">
        <v>0</v>
      </c>
      <c r="T238" s="56">
        <v>0.31476266565514799</v>
      </c>
      <c r="U238" s="56">
        <v>3.18722909636951</v>
      </c>
      <c r="V238" s="57">
        <v>20.758519721023301</v>
      </c>
      <c r="W238" s="56">
        <v>28.773856884121599</v>
      </c>
      <c r="X238" s="56">
        <v>92.642725406644402</v>
      </c>
      <c r="Y238" s="57">
        <v>246.44871262398601</v>
      </c>
      <c r="Z238" s="57">
        <v>472.01192648753198</v>
      </c>
      <c r="AA238" s="56">
        <v>609.431058305134</v>
      </c>
      <c r="AB238" s="56">
        <v>937.33379624347401</v>
      </c>
      <c r="AC238" s="57">
        <v>1177.17718901956</v>
      </c>
    </row>
    <row r="239" spans="2:29" ht="15" x14ac:dyDescent="0.25">
      <c r="B239" s="55" t="s">
        <v>380</v>
      </c>
      <c r="C239" s="55" t="s">
        <v>205</v>
      </c>
      <c r="D239" s="55" t="s">
        <v>237</v>
      </c>
      <c r="E239" s="55" t="s">
        <v>99</v>
      </c>
      <c r="F239" s="58">
        <v>7995.5515490339303</v>
      </c>
      <c r="G239" s="58">
        <v>21267.551851330099</v>
      </c>
      <c r="H239" s="58">
        <v>2306.1941133349401</v>
      </c>
      <c r="I239" s="58">
        <v>8876.3504942989293</v>
      </c>
      <c r="J239" s="59">
        <v>16600.923011314298</v>
      </c>
      <c r="K239" s="58">
        <v>30686.847951194399</v>
      </c>
      <c r="L239" s="58">
        <v>38509.549431652697</v>
      </c>
      <c r="M239" s="58">
        <v>65981.406390629403</v>
      </c>
      <c r="N239" s="58">
        <v>109583.168277697</v>
      </c>
      <c r="O239" s="58">
        <v>169144.76365473299</v>
      </c>
      <c r="P239" s="58">
        <v>191819.16445265699</v>
      </c>
      <c r="Q239" s="58">
        <v>222387.43791848299</v>
      </c>
      <c r="R239" s="58">
        <v>245463.891917803</v>
      </c>
      <c r="S239" s="58">
        <v>1593.13508737604</v>
      </c>
      <c r="T239" s="58">
        <v>5874.7212453003303</v>
      </c>
      <c r="U239" s="58">
        <v>11888.2500298018</v>
      </c>
      <c r="V239" s="58">
        <v>24725.7558435475</v>
      </c>
      <c r="W239" s="59">
        <v>31554.117569990402</v>
      </c>
      <c r="X239" s="58">
        <v>58618.822028836999</v>
      </c>
      <c r="Y239" s="58">
        <v>100386.599150746</v>
      </c>
      <c r="Z239" s="59">
        <v>161165.15065235901</v>
      </c>
      <c r="AA239" s="58">
        <v>176192.37863940201</v>
      </c>
      <c r="AB239" s="58">
        <v>215721.594838761</v>
      </c>
      <c r="AC239" s="58">
        <v>227686.40756010599</v>
      </c>
    </row>
    <row r="240" spans="2:29" ht="15" x14ac:dyDescent="0.25">
      <c r="B240" s="54" t="s">
        <v>381</v>
      </c>
      <c r="C240" s="54" t="s">
        <v>205</v>
      </c>
      <c r="D240" s="54" t="s">
        <v>239</v>
      </c>
      <c r="E240" s="54" t="s">
        <v>99</v>
      </c>
      <c r="F240" s="56">
        <v>47.945904272859202</v>
      </c>
      <c r="G240" s="56">
        <v>160.78734879711399</v>
      </c>
      <c r="H240" s="57">
        <v>0</v>
      </c>
      <c r="I240" s="56">
        <v>53.854701949789003</v>
      </c>
      <c r="J240" s="56">
        <v>109.312321024372</v>
      </c>
      <c r="K240" s="56">
        <v>207.114911002561</v>
      </c>
      <c r="L240" s="56">
        <v>249.998947646891</v>
      </c>
      <c r="M240" s="56">
        <v>416.08961418014098</v>
      </c>
      <c r="N240" s="57">
        <v>757.35339850804201</v>
      </c>
      <c r="O240" s="56">
        <v>1193.9589860498299</v>
      </c>
      <c r="P240" s="56">
        <v>1374.74323507538</v>
      </c>
      <c r="Q240" s="56">
        <v>1642.6304669598501</v>
      </c>
      <c r="R240" s="56">
        <v>1956.75356692797</v>
      </c>
      <c r="S240" s="56">
        <v>0</v>
      </c>
      <c r="T240" s="56">
        <v>43.282281803925301</v>
      </c>
      <c r="U240" s="56">
        <v>97.831889873331505</v>
      </c>
      <c r="V240" s="57">
        <v>185.44187595582301</v>
      </c>
      <c r="W240" s="56">
        <v>207.75397700236601</v>
      </c>
      <c r="X240" s="56">
        <v>383.25852119226403</v>
      </c>
      <c r="Y240" s="57">
        <v>670.43347595356602</v>
      </c>
      <c r="Z240" s="57">
        <v>1129.1869334605001</v>
      </c>
      <c r="AA240" s="56">
        <v>1296.5888226536899</v>
      </c>
      <c r="AB240" s="56">
        <v>1596.70325007725</v>
      </c>
      <c r="AC240" s="57">
        <v>1956.75356692797</v>
      </c>
    </row>
    <row r="241" spans="2:29" ht="15" x14ac:dyDescent="0.25">
      <c r="B241" s="55" t="s">
        <v>382</v>
      </c>
      <c r="C241" s="55" t="s">
        <v>205</v>
      </c>
      <c r="D241" s="55" t="s">
        <v>241</v>
      </c>
      <c r="E241" s="55" t="s">
        <v>99</v>
      </c>
      <c r="F241" s="58">
        <v>3986.2764757175801</v>
      </c>
      <c r="G241" s="58">
        <v>13041.819897663499</v>
      </c>
      <c r="H241" s="58">
        <v>720.69906936217296</v>
      </c>
      <c r="I241" s="58">
        <v>4118.11273270129</v>
      </c>
      <c r="J241" s="59">
        <v>8581.8825896267699</v>
      </c>
      <c r="K241" s="58">
        <v>15986.4573074168</v>
      </c>
      <c r="L241" s="58">
        <v>18988.550268040999</v>
      </c>
      <c r="M241" s="58">
        <v>35220.700350975501</v>
      </c>
      <c r="N241" s="58">
        <v>56799.634258101498</v>
      </c>
      <c r="O241" s="58">
        <v>80376.802225305306</v>
      </c>
      <c r="P241" s="58">
        <v>99040.919852613806</v>
      </c>
      <c r="Q241" s="58">
        <v>125809.41759935</v>
      </c>
      <c r="R241" s="58">
        <v>162030.39274513701</v>
      </c>
      <c r="S241" s="58">
        <v>541.97684852070404</v>
      </c>
      <c r="T241" s="58">
        <v>3099.6687850543599</v>
      </c>
      <c r="U241" s="58">
        <v>6915.5535100120696</v>
      </c>
      <c r="V241" s="58">
        <v>13406.8359093402</v>
      </c>
      <c r="W241" s="59">
        <v>16825.2165790826</v>
      </c>
      <c r="X241" s="58">
        <v>31040.712708296898</v>
      </c>
      <c r="Y241" s="58">
        <v>52398.446586432598</v>
      </c>
      <c r="Z241" s="59">
        <v>77148.264503558705</v>
      </c>
      <c r="AA241" s="58">
        <v>94456.029011054998</v>
      </c>
      <c r="AB241" s="58">
        <v>122980.46390888801</v>
      </c>
      <c r="AC241" s="58">
        <v>152379.33743937901</v>
      </c>
    </row>
    <row r="242" spans="2:29" ht="15" x14ac:dyDescent="0.25">
      <c r="B242" s="54" t="s">
        <v>383</v>
      </c>
      <c r="C242" s="54" t="s">
        <v>205</v>
      </c>
      <c r="D242" s="54" t="s">
        <v>243</v>
      </c>
      <c r="E242" s="54" t="s">
        <v>99</v>
      </c>
      <c r="F242" s="56">
        <v>14803.810502222201</v>
      </c>
      <c r="G242" s="56">
        <v>34222.160149816998</v>
      </c>
      <c r="H242" s="57">
        <v>5283.9156440062798</v>
      </c>
      <c r="I242" s="56">
        <v>19602.428920228002</v>
      </c>
      <c r="J242" s="56">
        <v>34356.003565179097</v>
      </c>
      <c r="K242" s="56">
        <v>53809.175258880801</v>
      </c>
      <c r="L242" s="56">
        <v>62960.547421678602</v>
      </c>
      <c r="M242" s="56">
        <v>100918.795211191</v>
      </c>
      <c r="N242" s="57">
        <v>150563.44322317099</v>
      </c>
      <c r="O242" s="56">
        <v>221310.10764730701</v>
      </c>
      <c r="P242" s="56">
        <v>245997.106177999</v>
      </c>
      <c r="Q242" s="56">
        <v>320452.221888247</v>
      </c>
      <c r="R242" s="56">
        <v>442830.26619713899</v>
      </c>
      <c r="S242" s="56">
        <v>3267.5269197682701</v>
      </c>
      <c r="T242" s="56">
        <v>13039.2637462812</v>
      </c>
      <c r="U242" s="56">
        <v>23930.111076786401</v>
      </c>
      <c r="V242" s="57">
        <v>42073.505248251997</v>
      </c>
      <c r="W242" s="56">
        <v>50538.819814578797</v>
      </c>
      <c r="X242" s="56">
        <v>88365.441111013497</v>
      </c>
      <c r="Y242" s="57">
        <v>134180.41154854401</v>
      </c>
      <c r="Z242" s="57">
        <v>206228.78478212201</v>
      </c>
      <c r="AA242" s="56">
        <v>232296.975155906</v>
      </c>
      <c r="AB242" s="56">
        <v>294289.80475514499</v>
      </c>
      <c r="AC242" s="57">
        <v>395616.13686339301</v>
      </c>
    </row>
    <row r="243" spans="2:29" ht="15" x14ac:dyDescent="0.25">
      <c r="B243" s="55" t="s">
        <v>384</v>
      </c>
      <c r="C243" s="55" t="s">
        <v>205</v>
      </c>
      <c r="D243" s="55" t="s">
        <v>245</v>
      </c>
      <c r="E243" s="55" t="s">
        <v>99</v>
      </c>
      <c r="F243" s="58">
        <v>2461.9022648421301</v>
      </c>
      <c r="G243" s="58">
        <v>8139.6644992280499</v>
      </c>
      <c r="H243" s="58">
        <v>462.99974136178099</v>
      </c>
      <c r="I243" s="58">
        <v>2672.2204548423501</v>
      </c>
      <c r="J243" s="59">
        <v>5246.29505067218</v>
      </c>
      <c r="K243" s="58">
        <v>9447.0996156015808</v>
      </c>
      <c r="L243" s="58">
        <v>11238.2945455347</v>
      </c>
      <c r="M243" s="58">
        <v>19734.572798912999</v>
      </c>
      <c r="N243" s="58">
        <v>33260.9638891953</v>
      </c>
      <c r="O243" s="58">
        <v>53018.137475355099</v>
      </c>
      <c r="P243" s="58">
        <v>59792.231774093299</v>
      </c>
      <c r="Q243" s="58">
        <v>84233.058210739604</v>
      </c>
      <c r="R243" s="58">
        <v>108681.481350628</v>
      </c>
      <c r="S243" s="58">
        <v>357.15806574719699</v>
      </c>
      <c r="T243" s="58">
        <v>1983.7721270659199</v>
      </c>
      <c r="U243" s="58">
        <v>4070.86721352311</v>
      </c>
      <c r="V243" s="58">
        <v>7700.1159224349503</v>
      </c>
      <c r="W243" s="59">
        <v>9621.5376129015294</v>
      </c>
      <c r="X243" s="58">
        <v>17661.079757441799</v>
      </c>
      <c r="Y243" s="58">
        <v>31942.604978286101</v>
      </c>
      <c r="Z243" s="59">
        <v>51518.729019515398</v>
      </c>
      <c r="AA243" s="58">
        <v>57420.813175733303</v>
      </c>
      <c r="AB243" s="58">
        <v>78966.782438834096</v>
      </c>
      <c r="AC243" s="58">
        <v>97717.004571493104</v>
      </c>
    </row>
    <row r="244" spans="2:29" ht="15" x14ac:dyDescent="0.25">
      <c r="B244" s="54" t="s">
        <v>385</v>
      </c>
      <c r="C244" s="54" t="s">
        <v>205</v>
      </c>
      <c r="D244" s="54" t="s">
        <v>247</v>
      </c>
      <c r="E244" s="54" t="s">
        <v>99</v>
      </c>
      <c r="F244" s="56">
        <v>2016.62533211904</v>
      </c>
      <c r="G244" s="56">
        <v>9180.8709817506005</v>
      </c>
      <c r="H244" s="57">
        <v>0</v>
      </c>
      <c r="I244" s="56">
        <v>1474.96029247504</v>
      </c>
      <c r="J244" s="56">
        <v>3762.18731612693</v>
      </c>
      <c r="K244" s="56">
        <v>7773.3158735847301</v>
      </c>
      <c r="L244" s="56">
        <v>9719.6920413622902</v>
      </c>
      <c r="M244" s="56">
        <v>18854.932107099899</v>
      </c>
      <c r="N244" s="57">
        <v>35598.468986191103</v>
      </c>
      <c r="O244" s="56">
        <v>59119.160699875698</v>
      </c>
      <c r="P244" s="56">
        <v>71393.393051814797</v>
      </c>
      <c r="Q244" s="56">
        <v>93819.879254057698</v>
      </c>
      <c r="R244" s="56">
        <v>125725.408111039</v>
      </c>
      <c r="S244" s="56">
        <v>0</v>
      </c>
      <c r="T244" s="56">
        <v>1248.81024741135</v>
      </c>
      <c r="U244" s="56">
        <v>3299.1145383555699</v>
      </c>
      <c r="V244" s="57">
        <v>6870.9832203730803</v>
      </c>
      <c r="W244" s="56">
        <v>8789.1047138745707</v>
      </c>
      <c r="X244" s="56">
        <v>17643.937630017499</v>
      </c>
      <c r="Y244" s="57">
        <v>34155.944214612602</v>
      </c>
      <c r="Z244" s="57">
        <v>57703.655438864902</v>
      </c>
      <c r="AA244" s="56">
        <v>70243.603141964399</v>
      </c>
      <c r="AB244" s="56">
        <v>93819.879254057698</v>
      </c>
      <c r="AC244" s="57">
        <v>117202.660466446</v>
      </c>
    </row>
    <row r="245" spans="2:29" ht="15" x14ac:dyDescent="0.25">
      <c r="B245" s="55" t="s">
        <v>386</v>
      </c>
      <c r="C245" s="55" t="s">
        <v>205</v>
      </c>
      <c r="D245" s="55" t="s">
        <v>249</v>
      </c>
      <c r="E245" s="55" t="s">
        <v>99</v>
      </c>
      <c r="F245" s="58">
        <v>4069.4810002603499</v>
      </c>
      <c r="G245" s="58">
        <v>12487.501983533901</v>
      </c>
      <c r="H245" s="58">
        <v>923.24486021211203</v>
      </c>
      <c r="I245" s="58">
        <v>4704.9059000062498</v>
      </c>
      <c r="J245" s="59">
        <v>9066.2728093941696</v>
      </c>
      <c r="K245" s="58">
        <v>15228.071053028099</v>
      </c>
      <c r="L245" s="58">
        <v>17855.492625696399</v>
      </c>
      <c r="M245" s="58">
        <v>29666.828064683701</v>
      </c>
      <c r="N245" s="58">
        <v>54289.255546126398</v>
      </c>
      <c r="O245" s="58">
        <v>88919.125231554601</v>
      </c>
      <c r="P245" s="58">
        <v>97409.006541472205</v>
      </c>
      <c r="Q245" s="58">
        <v>123075.28448166201</v>
      </c>
      <c r="R245" s="58">
        <v>167254.80637703501</v>
      </c>
      <c r="S245" s="58">
        <v>681.50077294335699</v>
      </c>
      <c r="T245" s="58">
        <v>3436.6470652397702</v>
      </c>
      <c r="U245" s="58">
        <v>6800.5414631406002</v>
      </c>
      <c r="V245" s="58">
        <v>12156.458946989</v>
      </c>
      <c r="W245" s="59">
        <v>15087.620249912199</v>
      </c>
      <c r="X245" s="58">
        <v>27081.006591846501</v>
      </c>
      <c r="Y245" s="58">
        <v>50702.300726367102</v>
      </c>
      <c r="Z245" s="59">
        <v>83607.918185650997</v>
      </c>
      <c r="AA245" s="58">
        <v>91268.568406754101</v>
      </c>
      <c r="AB245" s="58">
        <v>119396.834980785</v>
      </c>
      <c r="AC245" s="58">
        <v>157294.614920055</v>
      </c>
    </row>
    <row r="246" spans="2:29" ht="15" x14ac:dyDescent="0.25">
      <c r="B246" s="54" t="s">
        <v>387</v>
      </c>
      <c r="C246" s="54" t="s">
        <v>205</v>
      </c>
      <c r="D246" s="54" t="s">
        <v>251</v>
      </c>
      <c r="E246" s="54" t="s">
        <v>99</v>
      </c>
      <c r="F246" s="56">
        <v>31220.589022731201</v>
      </c>
      <c r="G246" s="56">
        <v>75503.722147055305</v>
      </c>
      <c r="H246" s="57">
        <v>10244.3312603264</v>
      </c>
      <c r="I246" s="56">
        <v>36199.813540859199</v>
      </c>
      <c r="J246" s="56">
        <v>68699.886212659898</v>
      </c>
      <c r="K246" s="56">
        <v>119772.31051677999</v>
      </c>
      <c r="L246" s="56">
        <v>140595.93543585599</v>
      </c>
      <c r="M246" s="56">
        <v>255838.68889957201</v>
      </c>
      <c r="N246" s="57">
        <v>395137.71950177301</v>
      </c>
      <c r="O246" s="56">
        <v>579975.6384084</v>
      </c>
      <c r="P246" s="56">
        <v>612746.994534167</v>
      </c>
      <c r="Q246" s="56">
        <v>659130.36312077497</v>
      </c>
      <c r="R246" s="56">
        <v>870680.73872806097</v>
      </c>
      <c r="S246" s="56">
        <v>6506.23413250065</v>
      </c>
      <c r="T246" s="56">
        <v>24141.7596253013</v>
      </c>
      <c r="U246" s="56">
        <v>49230.671437523597</v>
      </c>
      <c r="V246" s="57">
        <v>95725.8805547269</v>
      </c>
      <c r="W246" s="56">
        <v>115985.57011503199</v>
      </c>
      <c r="X246" s="56">
        <v>227187.54836424399</v>
      </c>
      <c r="Y246" s="57">
        <v>360276.39208664</v>
      </c>
      <c r="Z246" s="57">
        <v>529069.39577018598</v>
      </c>
      <c r="AA246" s="56">
        <v>594059.87699362799</v>
      </c>
      <c r="AB246" s="56">
        <v>635618.30539617105</v>
      </c>
      <c r="AC246" s="57">
        <v>752749.27125204401</v>
      </c>
    </row>
    <row r="247" spans="2:29" ht="15" x14ac:dyDescent="0.25">
      <c r="B247" s="55" t="s">
        <v>388</v>
      </c>
      <c r="C247" s="55" t="s">
        <v>205</v>
      </c>
      <c r="D247" s="55" t="s">
        <v>253</v>
      </c>
      <c r="E247" s="55" t="s">
        <v>99</v>
      </c>
      <c r="F247" s="58">
        <v>593.39894346938797</v>
      </c>
      <c r="G247" s="58">
        <v>1861.4591704166801</v>
      </c>
      <c r="H247" s="58">
        <v>128.377513035177</v>
      </c>
      <c r="I247" s="58">
        <v>651.18130037461901</v>
      </c>
      <c r="J247" s="59">
        <v>1267.5956501119799</v>
      </c>
      <c r="K247" s="58">
        <v>2373.8980653487602</v>
      </c>
      <c r="L247" s="58">
        <v>2711.6729022524901</v>
      </c>
      <c r="M247" s="58">
        <v>4695.9359456024304</v>
      </c>
      <c r="N247" s="58">
        <v>7555.6941353517004</v>
      </c>
      <c r="O247" s="58">
        <v>12079.7266619043</v>
      </c>
      <c r="P247" s="58">
        <v>14857.6229820516</v>
      </c>
      <c r="Q247" s="58">
        <v>18036.166221443</v>
      </c>
      <c r="R247" s="58">
        <v>23763.5522181243</v>
      </c>
      <c r="S247" s="58">
        <v>92.591863620977804</v>
      </c>
      <c r="T247" s="58">
        <v>474.12755531533401</v>
      </c>
      <c r="U247" s="58">
        <v>1003.07897005743</v>
      </c>
      <c r="V247" s="58">
        <v>1911.9855679765501</v>
      </c>
      <c r="W247" s="59">
        <v>2345.2735949688299</v>
      </c>
      <c r="X247" s="58">
        <v>4204.6831024419398</v>
      </c>
      <c r="Y247" s="58">
        <v>7101.0116781741499</v>
      </c>
      <c r="Z247" s="59">
        <v>11562.9241654831</v>
      </c>
      <c r="AA247" s="58">
        <v>13830.549001715999</v>
      </c>
      <c r="AB247" s="58">
        <v>17411.275792231801</v>
      </c>
      <c r="AC247" s="58">
        <v>21768.476795487899</v>
      </c>
    </row>
    <row r="248" spans="2:29" ht="15" x14ac:dyDescent="0.25">
      <c r="B248" s="54" t="s">
        <v>389</v>
      </c>
      <c r="C248" s="54" t="s">
        <v>205</v>
      </c>
      <c r="D248" s="54" t="s">
        <v>267</v>
      </c>
      <c r="E248" s="54" t="s">
        <v>99</v>
      </c>
      <c r="F248" s="56">
        <v>64590.822308110801</v>
      </c>
      <c r="G248" s="56">
        <v>207222.655143404</v>
      </c>
      <c r="H248" s="57">
        <v>12019.848962059899</v>
      </c>
      <c r="I248" s="56">
        <v>67527.227929044704</v>
      </c>
      <c r="J248" s="56">
        <v>137588.34480389601</v>
      </c>
      <c r="K248" s="56">
        <v>253063.87744777001</v>
      </c>
      <c r="L248" s="56">
        <v>315973.08696761</v>
      </c>
      <c r="M248" s="56">
        <v>541160.73876154702</v>
      </c>
      <c r="N248" s="57">
        <v>933810.15484598</v>
      </c>
      <c r="O248" s="56">
        <v>1408983.2432603501</v>
      </c>
      <c r="P248" s="56">
        <v>1634688.2235340299</v>
      </c>
      <c r="Q248" s="56">
        <v>2199819.33004846</v>
      </c>
      <c r="R248" s="56">
        <v>2633002.0053692702</v>
      </c>
      <c r="S248" s="56">
        <v>8760.9607984255508</v>
      </c>
      <c r="T248" s="56">
        <v>48536.545852368399</v>
      </c>
      <c r="U248" s="56">
        <v>110496.95097082799</v>
      </c>
      <c r="V248" s="57">
        <v>218339.47989098699</v>
      </c>
      <c r="W248" s="56">
        <v>272860.56625979597</v>
      </c>
      <c r="X248" s="56">
        <v>505552.32816809101</v>
      </c>
      <c r="Y248" s="57">
        <v>854583.10059320903</v>
      </c>
      <c r="Z248" s="57">
        <v>1315952.6830227401</v>
      </c>
      <c r="AA248" s="56">
        <v>1509225.93412111</v>
      </c>
      <c r="AB248" s="56">
        <v>2111197.0313857999</v>
      </c>
      <c r="AC248" s="57">
        <v>2447680.5772611899</v>
      </c>
    </row>
    <row r="249" spans="2:29" ht="15" x14ac:dyDescent="0.25">
      <c r="B249" s="55" t="s">
        <v>390</v>
      </c>
      <c r="C249" s="55" t="s">
        <v>205</v>
      </c>
      <c r="D249" s="55" t="s">
        <v>269</v>
      </c>
      <c r="E249" s="55" t="s">
        <v>99</v>
      </c>
      <c r="F249" s="58">
        <v>1934.1805172366901</v>
      </c>
      <c r="G249" s="58">
        <v>8810.2403630680801</v>
      </c>
      <c r="H249" s="58">
        <v>0</v>
      </c>
      <c r="I249" s="58">
        <v>910.49058384708599</v>
      </c>
      <c r="J249" s="59">
        <v>3189.9861308168602</v>
      </c>
      <c r="K249" s="58">
        <v>8004.59052903882</v>
      </c>
      <c r="L249" s="58">
        <v>10581.6917534651</v>
      </c>
      <c r="M249" s="58">
        <v>22544.813184303799</v>
      </c>
      <c r="N249" s="58">
        <v>43701.789992964201</v>
      </c>
      <c r="O249" s="58">
        <v>61527.048649808501</v>
      </c>
      <c r="P249" s="58">
        <v>70080.699618777595</v>
      </c>
      <c r="Q249" s="58">
        <v>100425.34778111</v>
      </c>
      <c r="R249" s="58">
        <v>122734.644138729</v>
      </c>
      <c r="S249" s="58">
        <v>0</v>
      </c>
      <c r="T249" s="58">
        <v>866.08119921457501</v>
      </c>
      <c r="U249" s="58">
        <v>2862.8587556437801</v>
      </c>
      <c r="V249" s="58">
        <v>7407.6742695964003</v>
      </c>
      <c r="W249" s="59">
        <v>9688.7219925323207</v>
      </c>
      <c r="X249" s="58">
        <v>21479.554050052298</v>
      </c>
      <c r="Y249" s="58">
        <v>42158.986132548598</v>
      </c>
      <c r="Z249" s="59">
        <v>60632.0317799564</v>
      </c>
      <c r="AA249" s="58">
        <v>67314.939123538396</v>
      </c>
      <c r="AB249" s="58">
        <v>96958.351196263204</v>
      </c>
      <c r="AC249" s="58">
        <v>112938.498270186</v>
      </c>
    </row>
    <row r="250" spans="2:29" ht="15" x14ac:dyDescent="0.25">
      <c r="B250" s="54" t="s">
        <v>391</v>
      </c>
      <c r="C250" s="54" t="s">
        <v>205</v>
      </c>
      <c r="D250" s="54" t="s">
        <v>273</v>
      </c>
      <c r="E250" s="54" t="s">
        <v>99</v>
      </c>
      <c r="F250" s="56">
        <v>60.290250918343098</v>
      </c>
      <c r="G250" s="56">
        <v>341.52405468520698</v>
      </c>
      <c r="H250" s="57">
        <v>1.2194977652035599</v>
      </c>
      <c r="I250" s="56">
        <v>14.7723555973331</v>
      </c>
      <c r="J250" s="56">
        <v>62.684816724566701</v>
      </c>
      <c r="K250" s="56">
        <v>186.07502302564399</v>
      </c>
      <c r="L250" s="56">
        <v>266.46857246749698</v>
      </c>
      <c r="M250" s="56">
        <v>689.599996963884</v>
      </c>
      <c r="N250" s="57">
        <v>1419.0765494283901</v>
      </c>
      <c r="O250" s="56">
        <v>2499.3010015741002</v>
      </c>
      <c r="P250" s="56">
        <v>2943.6689110228399</v>
      </c>
      <c r="Q250" s="56">
        <v>4354.0108521912698</v>
      </c>
      <c r="R250" s="56">
        <v>5018.6217669859998</v>
      </c>
      <c r="S250" s="56">
        <v>1.0945204939472599</v>
      </c>
      <c r="T250" s="56">
        <v>10.7096790453992</v>
      </c>
      <c r="U250" s="56">
        <v>58.5763184621592</v>
      </c>
      <c r="V250" s="57">
        <v>169.51876833940199</v>
      </c>
      <c r="W250" s="56">
        <v>251.963032384353</v>
      </c>
      <c r="X250" s="56">
        <v>645.07425621799905</v>
      </c>
      <c r="Y250" s="57">
        <v>1313.88955816766</v>
      </c>
      <c r="Z250" s="57">
        <v>2317.0222151461799</v>
      </c>
      <c r="AA250" s="56">
        <v>2653.9068426948402</v>
      </c>
      <c r="AB250" s="56">
        <v>4335.3499105157298</v>
      </c>
      <c r="AC250" s="57">
        <v>5011.31823783659</v>
      </c>
    </row>
  </sheetData>
  <pageMargins left="0.7" right="0.7" top="0.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pageSetUpPr fitToPage="1"/>
  </sheetPr>
  <dimension ref="A1:AB11"/>
  <sheetViews>
    <sheetView showGridLines="0" workbookViewId="0"/>
  </sheetViews>
  <sheetFormatPr defaultColWidth="0" defaultRowHeight="15" x14ac:dyDescent="0.25"/>
  <cols>
    <col min="1" max="1" width="185.140625" customWidth="1"/>
    <col min="2" max="2" width="3" customWidth="1"/>
    <col min="3" max="28" width="0" hidden="1" customWidth="1"/>
    <col min="29" max="29" width="9.140625" hidden="1" customWidth="1"/>
    <col min="30" max="16384" width="9.140625" hidden="1"/>
  </cols>
  <sheetData>
    <row r="1" spans="1:2" ht="35.1" customHeight="1" x14ac:dyDescent="0.45">
      <c r="A1" s="44"/>
      <c r="B1" s="45"/>
    </row>
    <row r="2" spans="1:2" x14ac:dyDescent="0.25">
      <c r="B2" s="45"/>
    </row>
    <row r="3" spans="1:2" ht="17.45" customHeight="1" x14ac:dyDescent="0.25">
      <c r="A3" s="46" t="s">
        <v>59</v>
      </c>
      <c r="B3" s="47"/>
    </row>
    <row r="4" spans="1:2" ht="102" customHeight="1" x14ac:dyDescent="0.25">
      <c r="A4" s="48" t="s">
        <v>60</v>
      </c>
      <c r="B4" s="49"/>
    </row>
    <row r="5" spans="1:2" ht="37.9" customHeight="1" x14ac:dyDescent="0.25">
      <c r="A5" s="48" t="s">
        <v>61</v>
      </c>
      <c r="B5" s="49"/>
    </row>
    <row r="6" spans="1:2" ht="27" customHeight="1" x14ac:dyDescent="0.25">
      <c r="A6" s="48" t="s">
        <v>62</v>
      </c>
      <c r="B6" s="49"/>
    </row>
    <row r="7" spans="1:2" ht="25.15" customHeight="1" x14ac:dyDescent="0.25">
      <c r="A7" s="48" t="s">
        <v>63</v>
      </c>
    </row>
    <row r="8" spans="1:2" ht="38.450000000000003" customHeight="1" x14ac:dyDescent="0.25">
      <c r="A8" s="48" t="s">
        <v>64</v>
      </c>
      <c r="B8" s="49"/>
    </row>
    <row r="9" spans="1:2" ht="28.9" customHeight="1" x14ac:dyDescent="0.25">
      <c r="A9" s="48" t="s">
        <v>65</v>
      </c>
      <c r="B9" s="49"/>
    </row>
    <row r="10" spans="1:2" ht="24" customHeight="1" x14ac:dyDescent="0.25">
      <c r="A10" s="48" t="s">
        <v>66</v>
      </c>
      <c r="B10" s="49"/>
    </row>
    <row r="11" spans="1:2" ht="79.150000000000006" customHeight="1" x14ac:dyDescent="0.25">
      <c r="A11" s="50" t="s">
        <v>67</v>
      </c>
    </row>
  </sheetData>
  <pageMargins left="0.7" right="0.7" top="0.75" bottom="0.94488188976378007"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Exposure</vt:lpstr>
      <vt:lpstr>Model Results</vt:lpstr>
      <vt:lpstr>PML by LOB</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Waddup, Eva</cp:lastModifiedBy>
  <dcterms:created xsi:type="dcterms:W3CDTF">2026-01-09T16:26:00Z</dcterms:created>
  <dcterms:modified xsi:type="dcterms:W3CDTF">2026-01-14T13:33:39Z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2026-01-09T16:31:07Z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1d9ba385-7d20-493c-a4c2-f8cf4817a676</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